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45964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45964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45964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45964</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45964</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45964</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45964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45964</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45964</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45964</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425-2024</t>
        </is>
      </c>
      <c r="B16" s="1" t="n">
        <v>45296</v>
      </c>
      <c r="C16" s="1" t="n">
        <v>45964</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45964</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50105-2023</t>
        </is>
      </c>
      <c r="B18" s="1" t="n">
        <v>45215</v>
      </c>
      <c r="C18" s="1" t="n">
        <v>45964</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27073-2025</t>
        </is>
      </c>
      <c r="B19" s="1" t="n">
        <v>45811.64190972222</v>
      </c>
      <c r="C19" s="1" t="n">
        <v>45964</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45964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45964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45964</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33339-2024</t>
        </is>
      </c>
      <c r="B23" s="1" t="n">
        <v>45519</v>
      </c>
      <c r="C23" s="1" t="n">
        <v>45964</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17942-2024</t>
        </is>
      </c>
      <c r="B24" s="1" t="n">
        <v>45419</v>
      </c>
      <c r="C24" s="1" t="n">
        <v>45964</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28900-2024</t>
        </is>
      </c>
      <c r="B25" s="1" t="n">
        <v>45480</v>
      </c>
      <c r="C25" s="1" t="n">
        <v>45964</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45964</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1524-2023</t>
        </is>
      </c>
      <c r="B27" s="1" t="n">
        <v>44935</v>
      </c>
      <c r="C27" s="1" t="n">
        <v>45964</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45116-2023</t>
        </is>
      </c>
      <c r="B28" s="1" t="n">
        <v>45191</v>
      </c>
      <c r="C28" s="1" t="n">
        <v>45964</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26347-2025</t>
        </is>
      </c>
      <c r="B29" s="1" t="n">
        <v>45805.7403125</v>
      </c>
      <c r="C29" s="1" t="n">
        <v>45964</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45964</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23961-2022</t>
        </is>
      </c>
      <c r="B31" s="1" t="n">
        <v>44722</v>
      </c>
      <c r="C31" s="1" t="n">
        <v>45964</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29510-2025</t>
        </is>
      </c>
      <c r="B32" s="1" t="n">
        <v>45825</v>
      </c>
      <c r="C32" s="1" t="n">
        <v>45964</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52439-2025</t>
        </is>
      </c>
      <c r="B33" s="1" t="n">
        <v>45954.40697916667</v>
      </c>
      <c r="C33" s="1" t="n">
        <v>45964</v>
      </c>
      <c r="D33" t="inlineStr">
        <is>
          <t>UPPSALA LÄN</t>
        </is>
      </c>
      <c r="E33" t="inlineStr">
        <is>
          <t>ENKÖPING</t>
        </is>
      </c>
      <c r="F33" t="inlineStr">
        <is>
          <t>Allmännings- och besparingsskogar</t>
        </is>
      </c>
      <c r="G33" t="n">
        <v>2.2</v>
      </c>
      <c r="H33" t="n">
        <v>0</v>
      </c>
      <c r="I33" t="n">
        <v>0</v>
      </c>
      <c r="J33" t="n">
        <v>1</v>
      </c>
      <c r="K33" t="n">
        <v>0</v>
      </c>
      <c r="L33" t="n">
        <v>0</v>
      </c>
      <c r="M33" t="n">
        <v>0</v>
      </c>
      <c r="N33" t="n">
        <v>0</v>
      </c>
      <c r="O33" t="n">
        <v>1</v>
      </c>
      <c r="P33" t="n">
        <v>0</v>
      </c>
      <c r="Q33" t="n">
        <v>1</v>
      </c>
      <c r="R33" s="2" t="inlineStr">
        <is>
          <t>Igelkott</t>
        </is>
      </c>
      <c r="S33">
        <f>HYPERLINK("https://klasma.github.io/Logging_0381/artfynd/A 52439-2025 artfynd.xlsx", "A 52439-2025")</f>
        <v/>
      </c>
      <c r="T33">
        <f>HYPERLINK("https://klasma.github.io/Logging_0381/kartor/A 52439-2025 karta.png", "A 52439-2025")</f>
        <v/>
      </c>
      <c r="V33">
        <f>HYPERLINK("https://klasma.github.io/Logging_0381/klagomål/A 52439-2025 FSC-klagomål.docx", "A 52439-2025")</f>
        <v/>
      </c>
      <c r="W33">
        <f>HYPERLINK("https://klasma.github.io/Logging_0381/klagomålsmail/A 52439-2025 FSC-klagomål mail.docx", "A 52439-2025")</f>
        <v/>
      </c>
      <c r="X33">
        <f>HYPERLINK("https://klasma.github.io/Logging_0381/tillsyn/A 52439-2025 tillsynsbegäran.docx", "A 52439-2025")</f>
        <v/>
      </c>
      <c r="Y33">
        <f>HYPERLINK("https://klasma.github.io/Logging_0381/tillsynsmail/A 52439-2025 tillsynsbegäran mail.docx", "A 52439-2025")</f>
        <v/>
      </c>
    </row>
    <row r="34" ht="15" customHeight="1">
      <c r="A34" t="inlineStr">
        <is>
          <t>A 16683-2021</t>
        </is>
      </c>
      <c r="B34" s="1" t="n">
        <v>44294.58495370371</v>
      </c>
      <c r="C34" s="1" t="n">
        <v>45964</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45964</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45964</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45964</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45964</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45964</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45964</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45964</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45964</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45964</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45964</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45964</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45964</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45964</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45964</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45964</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45964</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45964</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45964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45964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45964</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45964</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45964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45964</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45964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45964</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45964</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45964</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45964</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45964</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45964</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45964</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45964</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45964</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45964</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45964</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45964</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45964</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45964</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45964</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45964</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45964</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45964</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45964</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45964</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42029-2021</t>
        </is>
      </c>
      <c r="B90" s="1" t="n">
        <v>44426</v>
      </c>
      <c r="C90" s="1" t="n">
        <v>45964</v>
      </c>
      <c r="D90" t="inlineStr">
        <is>
          <t>UPPSALA LÄN</t>
        </is>
      </c>
      <c r="E90" t="inlineStr">
        <is>
          <t>ENKÖPING</t>
        </is>
      </c>
      <c r="G90" t="n">
        <v>5.3</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45964</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24883-2022</t>
        </is>
      </c>
      <c r="B92" s="1" t="n">
        <v>44728</v>
      </c>
      <c r="C92" s="1" t="n">
        <v>45964</v>
      </c>
      <c r="D92" t="inlineStr">
        <is>
          <t>UPPSALA LÄN</t>
        </is>
      </c>
      <c r="E92" t="inlineStr">
        <is>
          <t>ENKÖPING</t>
        </is>
      </c>
      <c r="G92" t="n">
        <v>2.5</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45964</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19630-2021</t>
        </is>
      </c>
      <c r="B94" s="1" t="n">
        <v>44312.61876157407</v>
      </c>
      <c r="C94" s="1" t="n">
        <v>45964</v>
      </c>
      <c r="D94" t="inlineStr">
        <is>
          <t>UPPSALA LÄN</t>
        </is>
      </c>
      <c r="E94" t="inlineStr">
        <is>
          <t>ENKÖPING</t>
        </is>
      </c>
      <c r="G94" t="n">
        <v>2.7</v>
      </c>
      <c r="H94" t="n">
        <v>0</v>
      </c>
      <c r="I94" t="n">
        <v>0</v>
      </c>
      <c r="J94" t="n">
        <v>0</v>
      </c>
      <c r="K94" t="n">
        <v>0</v>
      </c>
      <c r="L94" t="n">
        <v>0</v>
      </c>
      <c r="M94" t="n">
        <v>0</v>
      </c>
      <c r="N94" t="n">
        <v>0</v>
      </c>
      <c r="O94" t="n">
        <v>0</v>
      </c>
      <c r="P94" t="n">
        <v>0</v>
      </c>
      <c r="Q94" t="n">
        <v>0</v>
      </c>
      <c r="R94" s="2" t="inlineStr"/>
    </row>
    <row r="95" ht="15" customHeight="1">
      <c r="A95" t="inlineStr">
        <is>
          <t>A 1971-2022</t>
        </is>
      </c>
      <c r="B95" s="1" t="n">
        <v>44575</v>
      </c>
      <c r="C95" s="1" t="n">
        <v>45964</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45964</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45964</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60874-2021</t>
        </is>
      </c>
      <c r="B98" s="1" t="n">
        <v>44497</v>
      </c>
      <c r="C98" s="1" t="n">
        <v>45964</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45964</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45964</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45964</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45964</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45964</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57043-2021</t>
        </is>
      </c>
      <c r="B104" s="1" t="n">
        <v>44482.53399305556</v>
      </c>
      <c r="C104" s="1" t="n">
        <v>45964</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57802-2020</t>
        </is>
      </c>
      <c r="B105" s="1" t="n">
        <v>44141</v>
      </c>
      <c r="C105" s="1" t="n">
        <v>45964</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15021-2022</t>
        </is>
      </c>
      <c r="B106" s="1" t="n">
        <v>44657</v>
      </c>
      <c r="C106" s="1" t="n">
        <v>45964</v>
      </c>
      <c r="D106" t="inlineStr">
        <is>
          <t>UPPSALA LÄN</t>
        </is>
      </c>
      <c r="E106" t="inlineStr">
        <is>
          <t>ENKÖPING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45964</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58798-2020</t>
        </is>
      </c>
      <c r="B108" s="1" t="n">
        <v>44146</v>
      </c>
      <c r="C108" s="1" t="n">
        <v>45964</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45964</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31013-2022</t>
        </is>
      </c>
      <c r="B110" s="1" t="n">
        <v>44768</v>
      </c>
      <c r="C110" s="1" t="n">
        <v>45964</v>
      </c>
      <c r="D110" t="inlineStr">
        <is>
          <t>UPPSALA LÄN</t>
        </is>
      </c>
      <c r="E110" t="inlineStr">
        <is>
          <t>ENKÖPING</t>
        </is>
      </c>
      <c r="F110" t="inlineStr">
        <is>
          <t>Allmännings- och besparingsskogar</t>
        </is>
      </c>
      <c r="G110" t="n">
        <v>0.5</v>
      </c>
      <c r="H110" t="n">
        <v>0</v>
      </c>
      <c r="I110" t="n">
        <v>0</v>
      </c>
      <c r="J110" t="n">
        <v>0</v>
      </c>
      <c r="K110" t="n">
        <v>0</v>
      </c>
      <c r="L110" t="n">
        <v>0</v>
      </c>
      <c r="M110" t="n">
        <v>0</v>
      </c>
      <c r="N110" t="n">
        <v>0</v>
      </c>
      <c r="O110" t="n">
        <v>0</v>
      </c>
      <c r="P110" t="n">
        <v>0</v>
      </c>
      <c r="Q110" t="n">
        <v>0</v>
      </c>
      <c r="R110" s="2" t="inlineStr"/>
    </row>
    <row r="111" ht="15" customHeight="1">
      <c r="A111" t="inlineStr">
        <is>
          <t>A 22912-2024</t>
        </is>
      </c>
      <c r="B111" s="1" t="n">
        <v>45448.73118055556</v>
      </c>
      <c r="C111" s="1" t="n">
        <v>45964</v>
      </c>
      <c r="D111" t="inlineStr">
        <is>
          <t>UPPSALA LÄN</t>
        </is>
      </c>
      <c r="E111" t="inlineStr">
        <is>
          <t>ENKÖPING</t>
        </is>
      </c>
      <c r="G111" t="n">
        <v>2.8</v>
      </c>
      <c r="H111" t="n">
        <v>0</v>
      </c>
      <c r="I111" t="n">
        <v>0</v>
      </c>
      <c r="J111" t="n">
        <v>0</v>
      </c>
      <c r="K111" t="n">
        <v>0</v>
      </c>
      <c r="L111" t="n">
        <v>0</v>
      </c>
      <c r="M111" t="n">
        <v>0</v>
      </c>
      <c r="N111" t="n">
        <v>0</v>
      </c>
      <c r="O111" t="n">
        <v>0</v>
      </c>
      <c r="P111" t="n">
        <v>0</v>
      </c>
      <c r="Q111" t="n">
        <v>0</v>
      </c>
      <c r="R111" s="2" t="inlineStr"/>
    </row>
    <row r="112" ht="15" customHeight="1">
      <c r="A112" t="inlineStr">
        <is>
          <t>A 21612-2023</t>
        </is>
      </c>
      <c r="B112" s="1" t="n">
        <v>45063</v>
      </c>
      <c r="C112" s="1" t="n">
        <v>45964</v>
      </c>
      <c r="D112" t="inlineStr">
        <is>
          <t>UPPSALA LÄN</t>
        </is>
      </c>
      <c r="E112" t="inlineStr">
        <is>
          <t>ENKÖPING</t>
        </is>
      </c>
      <c r="F112" t="inlineStr">
        <is>
          <t>Allmännings- och besparingsskogar</t>
        </is>
      </c>
      <c r="G112" t="n">
        <v>1</v>
      </c>
      <c r="H112" t="n">
        <v>0</v>
      </c>
      <c r="I112" t="n">
        <v>0</v>
      </c>
      <c r="J112" t="n">
        <v>0</v>
      </c>
      <c r="K112" t="n">
        <v>0</v>
      </c>
      <c r="L112" t="n">
        <v>0</v>
      </c>
      <c r="M112" t="n">
        <v>0</v>
      </c>
      <c r="N112" t="n">
        <v>0</v>
      </c>
      <c r="O112" t="n">
        <v>0</v>
      </c>
      <c r="P112" t="n">
        <v>0</v>
      </c>
      <c r="Q112" t="n">
        <v>0</v>
      </c>
      <c r="R112" s="2" t="inlineStr"/>
    </row>
    <row r="113" ht="15" customHeight="1">
      <c r="A113" t="inlineStr">
        <is>
          <t>A 17467-2022</t>
        </is>
      </c>
      <c r="B113" s="1" t="n">
        <v>44679</v>
      </c>
      <c r="C113" s="1" t="n">
        <v>45964</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14243-2025</t>
        </is>
      </c>
      <c r="B114" s="1" t="n">
        <v>45740.61288194444</v>
      </c>
      <c r="C114" s="1" t="n">
        <v>45964</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33343-2024</t>
        </is>
      </c>
      <c r="B115" s="1" t="n">
        <v>45519</v>
      </c>
      <c r="C115" s="1" t="n">
        <v>45964</v>
      </c>
      <c r="D115" t="inlineStr">
        <is>
          <t>UPPSALA LÄN</t>
        </is>
      </c>
      <c r="E115" t="inlineStr">
        <is>
          <t>ENKÖPING</t>
        </is>
      </c>
      <c r="G115" t="n">
        <v>2</v>
      </c>
      <c r="H115" t="n">
        <v>0</v>
      </c>
      <c r="I115" t="n">
        <v>0</v>
      </c>
      <c r="J115" t="n">
        <v>0</v>
      </c>
      <c r="K115" t="n">
        <v>0</v>
      </c>
      <c r="L115" t="n">
        <v>0</v>
      </c>
      <c r="M115" t="n">
        <v>0</v>
      </c>
      <c r="N115" t="n">
        <v>0</v>
      </c>
      <c r="O115" t="n">
        <v>0</v>
      </c>
      <c r="P115" t="n">
        <v>0</v>
      </c>
      <c r="Q115" t="n">
        <v>0</v>
      </c>
      <c r="R115" s="2" t="inlineStr"/>
    </row>
    <row r="116" ht="15" customHeight="1">
      <c r="A116" t="inlineStr">
        <is>
          <t>A 61711-2020</t>
        </is>
      </c>
      <c r="B116" s="1" t="n">
        <v>44158</v>
      </c>
      <c r="C116" s="1" t="n">
        <v>45964</v>
      </c>
      <c r="D116" t="inlineStr">
        <is>
          <t>UPPSALA LÄN</t>
        </is>
      </c>
      <c r="E116" t="inlineStr">
        <is>
          <t>ENKÖPING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49063-2024</t>
        </is>
      </c>
      <c r="B117" s="1" t="n">
        <v>45594.59869212963</v>
      </c>
      <c r="C117" s="1" t="n">
        <v>45964</v>
      </c>
      <c r="D117" t="inlineStr">
        <is>
          <t>UPPSALA LÄN</t>
        </is>
      </c>
      <c r="E117" t="inlineStr">
        <is>
          <t>ENKÖPING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12020-2024</t>
        </is>
      </c>
      <c r="B118" s="1" t="n">
        <v>45377</v>
      </c>
      <c r="C118" s="1" t="n">
        <v>45964</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13853-2023</t>
        </is>
      </c>
      <c r="B119" s="1" t="n">
        <v>45007</v>
      </c>
      <c r="C119" s="1" t="n">
        <v>45964</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10465-2022</t>
        </is>
      </c>
      <c r="B120" s="1" t="n">
        <v>44623</v>
      </c>
      <c r="C120" s="1" t="n">
        <v>45964</v>
      </c>
      <c r="D120" t="inlineStr">
        <is>
          <t>UPPSALA LÄN</t>
        </is>
      </c>
      <c r="E120" t="inlineStr">
        <is>
          <t>ENKÖPING</t>
        </is>
      </c>
      <c r="G120" t="n">
        <v>1.7</v>
      </c>
      <c r="H120" t="n">
        <v>0</v>
      </c>
      <c r="I120" t="n">
        <v>0</v>
      </c>
      <c r="J120" t="n">
        <v>0</v>
      </c>
      <c r="K120" t="n">
        <v>0</v>
      </c>
      <c r="L120" t="n">
        <v>0</v>
      </c>
      <c r="M120" t="n">
        <v>0</v>
      </c>
      <c r="N120" t="n">
        <v>0</v>
      </c>
      <c r="O120" t="n">
        <v>0</v>
      </c>
      <c r="P120" t="n">
        <v>0</v>
      </c>
      <c r="Q120" t="n">
        <v>0</v>
      </c>
      <c r="R120" s="2" t="inlineStr"/>
    </row>
    <row r="121" ht="15" customHeight="1">
      <c r="A121" t="inlineStr">
        <is>
          <t>A 14332-2024</t>
        </is>
      </c>
      <c r="B121" s="1" t="n">
        <v>45393</v>
      </c>
      <c r="C121" s="1" t="n">
        <v>45964</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61207-2023</t>
        </is>
      </c>
      <c r="B122" s="1" t="n">
        <v>45264.39444444444</v>
      </c>
      <c r="C122" s="1" t="n">
        <v>45964</v>
      </c>
      <c r="D122" t="inlineStr">
        <is>
          <t>UPPSALA LÄN</t>
        </is>
      </c>
      <c r="E122" t="inlineStr">
        <is>
          <t>ENKÖPING</t>
        </is>
      </c>
      <c r="G122" t="n">
        <v>10.8</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45964</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17657-2025</t>
        </is>
      </c>
      <c r="B124" s="1" t="n">
        <v>45758.35006944444</v>
      </c>
      <c r="C124" s="1" t="n">
        <v>45964</v>
      </c>
      <c r="D124" t="inlineStr">
        <is>
          <t>UPPSALA LÄN</t>
        </is>
      </c>
      <c r="E124" t="inlineStr">
        <is>
          <t>ENKÖPING</t>
        </is>
      </c>
      <c r="G124" t="n">
        <v>3</v>
      </c>
      <c r="H124" t="n">
        <v>0</v>
      </c>
      <c r="I124" t="n">
        <v>0</v>
      </c>
      <c r="J124" t="n">
        <v>0</v>
      </c>
      <c r="K124" t="n">
        <v>0</v>
      </c>
      <c r="L124" t="n">
        <v>0</v>
      </c>
      <c r="M124" t="n">
        <v>0</v>
      </c>
      <c r="N124" t="n">
        <v>0</v>
      </c>
      <c r="O124" t="n">
        <v>0</v>
      </c>
      <c r="P124" t="n">
        <v>0</v>
      </c>
      <c r="Q124" t="n">
        <v>0</v>
      </c>
      <c r="R124" s="2" t="inlineStr"/>
    </row>
    <row r="125" ht="15" customHeight="1">
      <c r="A125" t="inlineStr">
        <is>
          <t>A 49568-2022</t>
        </is>
      </c>
      <c r="B125" s="1" t="n">
        <v>44862.32791666667</v>
      </c>
      <c r="C125" s="1" t="n">
        <v>45964</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18302-2025</t>
        </is>
      </c>
      <c r="B126" s="1" t="n">
        <v>45762</v>
      </c>
      <c r="C126" s="1" t="n">
        <v>45964</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69567-2020</t>
        </is>
      </c>
      <c r="B127" s="1" t="n">
        <v>44194</v>
      </c>
      <c r="C127" s="1" t="n">
        <v>45964</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28243-2023</t>
        </is>
      </c>
      <c r="B128" s="1" t="n">
        <v>45099.58885416666</v>
      </c>
      <c r="C128" s="1" t="n">
        <v>45964</v>
      </c>
      <c r="D128" t="inlineStr">
        <is>
          <t>UPPSALA LÄN</t>
        </is>
      </c>
      <c r="E128" t="inlineStr">
        <is>
          <t>ENKÖPING</t>
        </is>
      </c>
      <c r="G128" t="n">
        <v>1.9</v>
      </c>
      <c r="H128" t="n">
        <v>0</v>
      </c>
      <c r="I128" t="n">
        <v>0</v>
      </c>
      <c r="J128" t="n">
        <v>0</v>
      </c>
      <c r="K128" t="n">
        <v>0</v>
      </c>
      <c r="L128" t="n">
        <v>0</v>
      </c>
      <c r="M128" t="n">
        <v>0</v>
      </c>
      <c r="N128" t="n">
        <v>0</v>
      </c>
      <c r="O128" t="n">
        <v>0</v>
      </c>
      <c r="P128" t="n">
        <v>0</v>
      </c>
      <c r="Q128" t="n">
        <v>0</v>
      </c>
      <c r="R128" s="2" t="inlineStr"/>
    </row>
    <row r="129" ht="15" customHeight="1">
      <c r="A129" t="inlineStr">
        <is>
          <t>A 40812-2022</t>
        </is>
      </c>
      <c r="B129" s="1" t="n">
        <v>44824.68791666667</v>
      </c>
      <c r="C129" s="1" t="n">
        <v>45964</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58896-2020</t>
        </is>
      </c>
      <c r="B130" s="1" t="n">
        <v>44146</v>
      </c>
      <c r="C130" s="1" t="n">
        <v>45964</v>
      </c>
      <c r="D130" t="inlineStr">
        <is>
          <t>UPPSALA LÄN</t>
        </is>
      </c>
      <c r="E130" t="inlineStr">
        <is>
          <t>ENKÖPING</t>
        </is>
      </c>
      <c r="G130" t="n">
        <v>2.5</v>
      </c>
      <c r="H130" t="n">
        <v>0</v>
      </c>
      <c r="I130" t="n">
        <v>0</v>
      </c>
      <c r="J130" t="n">
        <v>0</v>
      </c>
      <c r="K130" t="n">
        <v>0</v>
      </c>
      <c r="L130" t="n">
        <v>0</v>
      </c>
      <c r="M130" t="n">
        <v>0</v>
      </c>
      <c r="N130" t="n">
        <v>0</v>
      </c>
      <c r="O130" t="n">
        <v>0</v>
      </c>
      <c r="P130" t="n">
        <v>0</v>
      </c>
      <c r="Q130" t="n">
        <v>0</v>
      </c>
      <c r="R130" s="2" t="inlineStr"/>
    </row>
    <row r="131" ht="15" customHeight="1">
      <c r="A131" t="inlineStr">
        <is>
          <t>A 43691-2024</t>
        </is>
      </c>
      <c r="B131" s="1" t="n">
        <v>45569</v>
      </c>
      <c r="C131" s="1" t="n">
        <v>45964</v>
      </c>
      <c r="D131" t="inlineStr">
        <is>
          <t>UPPSALA LÄN</t>
        </is>
      </c>
      <c r="E131" t="inlineStr">
        <is>
          <t>ENKÖPING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47681-2024</t>
        </is>
      </c>
      <c r="B132" s="1" t="n">
        <v>45588</v>
      </c>
      <c r="C132" s="1" t="n">
        <v>45964</v>
      </c>
      <c r="D132" t="inlineStr">
        <is>
          <t>UPPSALA LÄN</t>
        </is>
      </c>
      <c r="E132" t="inlineStr">
        <is>
          <t>ENKÖPING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3235-2025</t>
        </is>
      </c>
      <c r="B133" s="1" t="n">
        <v>45679</v>
      </c>
      <c r="C133" s="1" t="n">
        <v>45964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41828-2024</t>
        </is>
      </c>
      <c r="B134" s="1" t="n">
        <v>45561</v>
      </c>
      <c r="C134" s="1" t="n">
        <v>45964</v>
      </c>
      <c r="D134" t="inlineStr">
        <is>
          <t>UPPSALA LÄN</t>
        </is>
      </c>
      <c r="E134" t="inlineStr">
        <is>
          <t>ENKÖPING</t>
        </is>
      </c>
      <c r="G134" t="n">
        <v>2.5</v>
      </c>
      <c r="H134" t="n">
        <v>0</v>
      </c>
      <c r="I134" t="n">
        <v>0</v>
      </c>
      <c r="J134" t="n">
        <v>0</v>
      </c>
      <c r="K134" t="n">
        <v>0</v>
      </c>
      <c r="L134" t="n">
        <v>0</v>
      </c>
      <c r="M134" t="n">
        <v>0</v>
      </c>
      <c r="N134" t="n">
        <v>0</v>
      </c>
      <c r="O134" t="n">
        <v>0</v>
      </c>
      <c r="P134" t="n">
        <v>0</v>
      </c>
      <c r="Q134" t="n">
        <v>0</v>
      </c>
      <c r="R134" s="2" t="inlineStr"/>
    </row>
    <row r="135" ht="15" customHeight="1">
      <c r="A135" t="inlineStr">
        <is>
          <t>A 53496-2022</t>
        </is>
      </c>
      <c r="B135" s="1" t="n">
        <v>44879.57217592592</v>
      </c>
      <c r="C135" s="1" t="n">
        <v>45964</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1536-2024</t>
        </is>
      </c>
      <c r="B136" s="1" t="n">
        <v>45306</v>
      </c>
      <c r="C136" s="1" t="n">
        <v>45964</v>
      </c>
      <c r="D136" t="inlineStr">
        <is>
          <t>UPPSALA LÄN</t>
        </is>
      </c>
      <c r="E136" t="inlineStr">
        <is>
          <t>ENKÖPING</t>
        </is>
      </c>
      <c r="F136" t="inlineStr">
        <is>
          <t>Kyrkan</t>
        </is>
      </c>
      <c r="G136" t="n">
        <v>5.6</v>
      </c>
      <c r="H136" t="n">
        <v>0</v>
      </c>
      <c r="I136" t="n">
        <v>0</v>
      </c>
      <c r="J136" t="n">
        <v>0</v>
      </c>
      <c r="K136" t="n">
        <v>0</v>
      </c>
      <c r="L136" t="n">
        <v>0</v>
      </c>
      <c r="M136" t="n">
        <v>0</v>
      </c>
      <c r="N136" t="n">
        <v>0</v>
      </c>
      <c r="O136" t="n">
        <v>0</v>
      </c>
      <c r="P136" t="n">
        <v>0</v>
      </c>
      <c r="Q136" t="n">
        <v>0</v>
      </c>
      <c r="R136" s="2" t="inlineStr"/>
    </row>
    <row r="137" ht="15" customHeight="1">
      <c r="A137" t="inlineStr">
        <is>
          <t>A 25333-2023</t>
        </is>
      </c>
      <c r="B137" s="1" t="n">
        <v>45083</v>
      </c>
      <c r="C137" s="1" t="n">
        <v>45964</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42564-2024</t>
        </is>
      </c>
      <c r="B138" s="1" t="n">
        <v>45565.63358796296</v>
      </c>
      <c r="C138" s="1" t="n">
        <v>45964</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15942-2022</t>
        </is>
      </c>
      <c r="B139" s="1" t="n">
        <v>44664</v>
      </c>
      <c r="C139" s="1" t="n">
        <v>45964</v>
      </c>
      <c r="D139" t="inlineStr">
        <is>
          <t>UPPSALA LÄN</t>
        </is>
      </c>
      <c r="E139" t="inlineStr">
        <is>
          <t>ENKÖPING</t>
        </is>
      </c>
      <c r="G139" t="n">
        <v>6.6</v>
      </c>
      <c r="H139" t="n">
        <v>0</v>
      </c>
      <c r="I139" t="n">
        <v>0</v>
      </c>
      <c r="J139" t="n">
        <v>0</v>
      </c>
      <c r="K139" t="n">
        <v>0</v>
      </c>
      <c r="L139" t="n">
        <v>0</v>
      </c>
      <c r="M139" t="n">
        <v>0</v>
      </c>
      <c r="N139" t="n">
        <v>0</v>
      </c>
      <c r="O139" t="n">
        <v>0</v>
      </c>
      <c r="P139" t="n">
        <v>0</v>
      </c>
      <c r="Q139" t="n">
        <v>0</v>
      </c>
      <c r="R139" s="2" t="inlineStr"/>
    </row>
    <row r="140" ht="15" customHeight="1">
      <c r="A140" t="inlineStr">
        <is>
          <t>A 3300-2025</t>
        </is>
      </c>
      <c r="B140" s="1" t="n">
        <v>45679</v>
      </c>
      <c r="C140" s="1" t="n">
        <v>45964</v>
      </c>
      <c r="D140" t="inlineStr">
        <is>
          <t>UPPSALA LÄN</t>
        </is>
      </c>
      <c r="E140" t="inlineStr">
        <is>
          <t>ENKÖPING</t>
        </is>
      </c>
      <c r="G140" t="n">
        <v>8.9</v>
      </c>
      <c r="H140" t="n">
        <v>0</v>
      </c>
      <c r="I140" t="n">
        <v>0</v>
      </c>
      <c r="J140" t="n">
        <v>0</v>
      </c>
      <c r="K140" t="n">
        <v>0</v>
      </c>
      <c r="L140" t="n">
        <v>0</v>
      </c>
      <c r="M140" t="n">
        <v>0</v>
      </c>
      <c r="N140" t="n">
        <v>0</v>
      </c>
      <c r="O140" t="n">
        <v>0</v>
      </c>
      <c r="P140" t="n">
        <v>0</v>
      </c>
      <c r="Q140" t="n">
        <v>0</v>
      </c>
      <c r="R140" s="2" t="inlineStr"/>
    </row>
    <row r="141" ht="15" customHeight="1">
      <c r="A141" t="inlineStr">
        <is>
          <t>A 2974-2025</t>
        </is>
      </c>
      <c r="B141" s="1" t="n">
        <v>45678.47168981482</v>
      </c>
      <c r="C141" s="1" t="n">
        <v>45964</v>
      </c>
      <c r="D141" t="inlineStr">
        <is>
          <t>UPPSALA LÄN</t>
        </is>
      </c>
      <c r="E141" t="inlineStr">
        <is>
          <t>ENKÖPING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43492-2023</t>
        </is>
      </c>
      <c r="B142" s="1" t="n">
        <v>45181</v>
      </c>
      <c r="C142" s="1" t="n">
        <v>45964</v>
      </c>
      <c r="D142" t="inlineStr">
        <is>
          <t>UPPSALA LÄN</t>
        </is>
      </c>
      <c r="E142" t="inlineStr">
        <is>
          <t>ENKÖPING</t>
        </is>
      </c>
      <c r="G142" t="n">
        <v>1.6</v>
      </c>
      <c r="H142" t="n">
        <v>0</v>
      </c>
      <c r="I142" t="n">
        <v>0</v>
      </c>
      <c r="J142" t="n">
        <v>0</v>
      </c>
      <c r="K142" t="n">
        <v>0</v>
      </c>
      <c r="L142" t="n">
        <v>0</v>
      </c>
      <c r="M142" t="n">
        <v>0</v>
      </c>
      <c r="N142" t="n">
        <v>0</v>
      </c>
      <c r="O142" t="n">
        <v>0</v>
      </c>
      <c r="P142" t="n">
        <v>0</v>
      </c>
      <c r="Q142" t="n">
        <v>0</v>
      </c>
      <c r="R142" s="2" t="inlineStr"/>
    </row>
    <row r="143" ht="15" customHeight="1">
      <c r="A143" t="inlineStr">
        <is>
          <t>A 12754-2025</t>
        </is>
      </c>
      <c r="B143" s="1" t="n">
        <v>45733.56331018519</v>
      </c>
      <c r="C143" s="1" t="n">
        <v>45964</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27786-2023</t>
        </is>
      </c>
      <c r="B144" s="1" t="n">
        <v>45098</v>
      </c>
      <c r="C144" s="1" t="n">
        <v>45964</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6626-2023</t>
        </is>
      </c>
      <c r="B145" s="1" t="n">
        <v>44966.55946759259</v>
      </c>
      <c r="C145" s="1" t="n">
        <v>45964</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48864-2022</t>
        </is>
      </c>
      <c r="B146" s="1" t="n">
        <v>44859</v>
      </c>
      <c r="C146" s="1" t="n">
        <v>45964</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16176-2025</t>
        </is>
      </c>
      <c r="B147" s="1" t="n">
        <v>45750</v>
      </c>
      <c r="C147" s="1" t="n">
        <v>45964</v>
      </c>
      <c r="D147" t="inlineStr">
        <is>
          <t>UPPSALA LÄN</t>
        </is>
      </c>
      <c r="E147" t="inlineStr">
        <is>
          <t>ENKÖPING</t>
        </is>
      </c>
      <c r="G147" t="n">
        <v>3.9</v>
      </c>
      <c r="H147" t="n">
        <v>0</v>
      </c>
      <c r="I147" t="n">
        <v>0</v>
      </c>
      <c r="J147" t="n">
        <v>0</v>
      </c>
      <c r="K147" t="n">
        <v>0</v>
      </c>
      <c r="L147" t="n">
        <v>0</v>
      </c>
      <c r="M147" t="n">
        <v>0</v>
      </c>
      <c r="N147" t="n">
        <v>0</v>
      </c>
      <c r="O147" t="n">
        <v>0</v>
      </c>
      <c r="P147" t="n">
        <v>0</v>
      </c>
      <c r="Q147" t="n">
        <v>0</v>
      </c>
      <c r="R147" s="2" t="inlineStr"/>
    </row>
    <row r="148" ht="15" customHeight="1">
      <c r="A148" t="inlineStr">
        <is>
          <t>A 56713-2024</t>
        </is>
      </c>
      <c r="B148" s="1" t="n">
        <v>45628</v>
      </c>
      <c r="C148" s="1" t="n">
        <v>45964</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6242-2025</t>
        </is>
      </c>
      <c r="B149" s="1" t="n">
        <v>45697</v>
      </c>
      <c r="C149" s="1" t="n">
        <v>45964</v>
      </c>
      <c r="D149" t="inlineStr">
        <is>
          <t>UPPSALA LÄN</t>
        </is>
      </c>
      <c r="E149" t="inlineStr">
        <is>
          <t>ENKÖPING</t>
        </is>
      </c>
      <c r="G149" t="n">
        <v>17.9</v>
      </c>
      <c r="H149" t="n">
        <v>0</v>
      </c>
      <c r="I149" t="n">
        <v>0</v>
      </c>
      <c r="J149" t="n">
        <v>0</v>
      </c>
      <c r="K149" t="n">
        <v>0</v>
      </c>
      <c r="L149" t="n">
        <v>0</v>
      </c>
      <c r="M149" t="n">
        <v>0</v>
      </c>
      <c r="N149" t="n">
        <v>0</v>
      </c>
      <c r="O149" t="n">
        <v>0</v>
      </c>
      <c r="P149" t="n">
        <v>0</v>
      </c>
      <c r="Q149" t="n">
        <v>0</v>
      </c>
      <c r="R149" s="2" t="inlineStr"/>
    </row>
    <row r="150" ht="15" customHeight="1">
      <c r="A150" t="inlineStr">
        <is>
          <t>A 42459-2024</t>
        </is>
      </c>
      <c r="B150" s="1" t="n">
        <v>45565</v>
      </c>
      <c r="C150" s="1" t="n">
        <v>45964</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37870-2023</t>
        </is>
      </c>
      <c r="B151" s="1" t="n">
        <v>45160.41996527778</v>
      </c>
      <c r="C151" s="1" t="n">
        <v>45964</v>
      </c>
      <c r="D151" t="inlineStr">
        <is>
          <t>UPPSALA LÄN</t>
        </is>
      </c>
      <c r="E151" t="inlineStr">
        <is>
          <t>ENKÖPING</t>
        </is>
      </c>
      <c r="G151" t="n">
        <v>3.5</v>
      </c>
      <c r="H151" t="n">
        <v>0</v>
      </c>
      <c r="I151" t="n">
        <v>0</v>
      </c>
      <c r="J151" t="n">
        <v>0</v>
      </c>
      <c r="K151" t="n">
        <v>0</v>
      </c>
      <c r="L151" t="n">
        <v>0</v>
      </c>
      <c r="M151" t="n">
        <v>0</v>
      </c>
      <c r="N151" t="n">
        <v>0</v>
      </c>
      <c r="O151" t="n">
        <v>0</v>
      </c>
      <c r="P151" t="n">
        <v>0</v>
      </c>
      <c r="Q151" t="n">
        <v>0</v>
      </c>
      <c r="R151" s="2" t="inlineStr"/>
    </row>
    <row r="152" ht="15" customHeight="1">
      <c r="A152" t="inlineStr">
        <is>
          <t>A 17165-2025</t>
        </is>
      </c>
      <c r="B152" s="1" t="n">
        <v>45756</v>
      </c>
      <c r="C152" s="1" t="n">
        <v>45964</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60125-2024</t>
        </is>
      </c>
      <c r="B153" s="1" t="n">
        <v>45642</v>
      </c>
      <c r="C153" s="1" t="n">
        <v>45964</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22094-2023</t>
        </is>
      </c>
      <c r="B154" s="1" t="n">
        <v>45069</v>
      </c>
      <c r="C154" s="1" t="n">
        <v>45964</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5013-2025</t>
        </is>
      </c>
      <c r="B155" s="1" t="n">
        <v>45691</v>
      </c>
      <c r="C155" s="1" t="n">
        <v>45964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10468-2025</t>
        </is>
      </c>
      <c r="B156" s="1" t="n">
        <v>45720</v>
      </c>
      <c r="C156" s="1" t="n">
        <v>45964</v>
      </c>
      <c r="D156" t="inlineStr">
        <is>
          <t>UPPSALA LÄN</t>
        </is>
      </c>
      <c r="E156" t="inlineStr">
        <is>
          <t>ENKÖPING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15405-2025</t>
        </is>
      </c>
      <c r="B157" s="1" t="n">
        <v>45747.44670138889</v>
      </c>
      <c r="C157" s="1" t="n">
        <v>45964</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5211-2024</t>
        </is>
      </c>
      <c r="B158" s="1" t="n">
        <v>45330</v>
      </c>
      <c r="C158" s="1" t="n">
        <v>45964</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35079-2024</t>
        </is>
      </c>
      <c r="B159" s="1" t="n">
        <v>45527.66770833333</v>
      </c>
      <c r="C159" s="1" t="n">
        <v>45964</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37170-2021</t>
        </is>
      </c>
      <c r="B160" s="1" t="n">
        <v>44395</v>
      </c>
      <c r="C160" s="1" t="n">
        <v>45964</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10409-2025</t>
        </is>
      </c>
      <c r="B161" s="1" t="n">
        <v>45720.631875</v>
      </c>
      <c r="C161" s="1" t="n">
        <v>45964</v>
      </c>
      <c r="D161" t="inlineStr">
        <is>
          <t>UPPSALA LÄN</t>
        </is>
      </c>
      <c r="E161" t="inlineStr">
        <is>
          <t>ENKÖPING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18299-2025</t>
        </is>
      </c>
      <c r="B162" s="1" t="n">
        <v>45762</v>
      </c>
      <c r="C162" s="1" t="n">
        <v>45964</v>
      </c>
      <c r="D162" t="inlineStr">
        <is>
          <t>UPPSALA LÄN</t>
        </is>
      </c>
      <c r="E162" t="inlineStr">
        <is>
          <t>ENKÖPING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33581-2023</t>
        </is>
      </c>
      <c r="B163" s="1" t="n">
        <v>45131</v>
      </c>
      <c r="C163" s="1" t="n">
        <v>45964</v>
      </c>
      <c r="D163" t="inlineStr">
        <is>
          <t>UPPSALA LÄN</t>
        </is>
      </c>
      <c r="E163" t="inlineStr">
        <is>
          <t>ENKÖPING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21686-2022</t>
        </is>
      </c>
      <c r="B164" s="1" t="n">
        <v>44707</v>
      </c>
      <c r="C164" s="1" t="n">
        <v>45964</v>
      </c>
      <c r="D164" t="inlineStr">
        <is>
          <t>UPPSALA LÄN</t>
        </is>
      </c>
      <c r="E164" t="inlineStr">
        <is>
          <t>ENKÖPING</t>
        </is>
      </c>
      <c r="G164" t="n">
        <v>2.2</v>
      </c>
      <c r="H164" t="n">
        <v>0</v>
      </c>
      <c r="I164" t="n">
        <v>0</v>
      </c>
      <c r="J164" t="n">
        <v>0</v>
      </c>
      <c r="K164" t="n">
        <v>0</v>
      </c>
      <c r="L164" t="n">
        <v>0</v>
      </c>
      <c r="M164" t="n">
        <v>0</v>
      </c>
      <c r="N164" t="n">
        <v>0</v>
      </c>
      <c r="O164" t="n">
        <v>0</v>
      </c>
      <c r="P164" t="n">
        <v>0</v>
      </c>
      <c r="Q164" t="n">
        <v>0</v>
      </c>
      <c r="R164" s="2" t="inlineStr"/>
    </row>
    <row r="165" ht="15" customHeight="1">
      <c r="A165" t="inlineStr">
        <is>
          <t>A 18831-2023</t>
        </is>
      </c>
      <c r="B165" s="1" t="n">
        <v>45044.40798611111</v>
      </c>
      <c r="C165" s="1" t="n">
        <v>45964</v>
      </c>
      <c r="D165" t="inlineStr">
        <is>
          <t>UPPSALA LÄN</t>
        </is>
      </c>
      <c r="E165" t="inlineStr">
        <is>
          <t>ENKÖPING</t>
        </is>
      </c>
      <c r="G165" t="n">
        <v>4.3</v>
      </c>
      <c r="H165" t="n">
        <v>0</v>
      </c>
      <c r="I165" t="n">
        <v>0</v>
      </c>
      <c r="J165" t="n">
        <v>0</v>
      </c>
      <c r="K165" t="n">
        <v>0</v>
      </c>
      <c r="L165" t="n">
        <v>0</v>
      </c>
      <c r="M165" t="n">
        <v>0</v>
      </c>
      <c r="N165" t="n">
        <v>0</v>
      </c>
      <c r="O165" t="n">
        <v>0</v>
      </c>
      <c r="P165" t="n">
        <v>0</v>
      </c>
      <c r="Q165" t="n">
        <v>0</v>
      </c>
      <c r="R165" s="2" t="inlineStr"/>
    </row>
    <row r="166" ht="15" customHeight="1">
      <c r="A166" t="inlineStr">
        <is>
          <t>A 58147-2024</t>
        </is>
      </c>
      <c r="B166" s="1" t="n">
        <v>45632.4334375</v>
      </c>
      <c r="C166" s="1" t="n">
        <v>45964</v>
      </c>
      <c r="D166" t="inlineStr">
        <is>
          <t>UPPSALA LÄN</t>
        </is>
      </c>
      <c r="E166" t="inlineStr">
        <is>
          <t>ENKÖPING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56163-2021</t>
        </is>
      </c>
      <c r="B167" s="1" t="n">
        <v>44477</v>
      </c>
      <c r="C167" s="1" t="n">
        <v>45964</v>
      </c>
      <c r="D167" t="inlineStr">
        <is>
          <t>UPPSALA LÄN</t>
        </is>
      </c>
      <c r="E167" t="inlineStr">
        <is>
          <t>ENKÖPING</t>
        </is>
      </c>
      <c r="F167" t="inlineStr">
        <is>
          <t>Allmännings- och besparingsskogar</t>
        </is>
      </c>
      <c r="G167" t="n">
        <v>0.6</v>
      </c>
      <c r="H167" t="n">
        <v>0</v>
      </c>
      <c r="I167" t="n">
        <v>0</v>
      </c>
      <c r="J167" t="n">
        <v>0</v>
      </c>
      <c r="K167" t="n">
        <v>0</v>
      </c>
      <c r="L167" t="n">
        <v>0</v>
      </c>
      <c r="M167" t="n">
        <v>0</v>
      </c>
      <c r="N167" t="n">
        <v>0</v>
      </c>
      <c r="O167" t="n">
        <v>0</v>
      </c>
      <c r="P167" t="n">
        <v>0</v>
      </c>
      <c r="Q167" t="n">
        <v>0</v>
      </c>
      <c r="R167" s="2" t="inlineStr"/>
    </row>
    <row r="168" ht="15" customHeight="1">
      <c r="A168" t="inlineStr">
        <is>
          <t>A 47909-2024</t>
        </is>
      </c>
      <c r="B168" s="1" t="n">
        <v>45589.31866898148</v>
      </c>
      <c r="C168" s="1" t="n">
        <v>45964</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6172-2023</t>
        </is>
      </c>
      <c r="B169" s="1" t="n">
        <v>44964.68663194445</v>
      </c>
      <c r="C169" s="1" t="n">
        <v>45964</v>
      </c>
      <c r="D169" t="inlineStr">
        <is>
          <t>UPPSALA LÄN</t>
        </is>
      </c>
      <c r="E169" t="inlineStr">
        <is>
          <t>ENKÖPING</t>
        </is>
      </c>
      <c r="G169" t="n">
        <v>2.6</v>
      </c>
      <c r="H169" t="n">
        <v>0</v>
      </c>
      <c r="I169" t="n">
        <v>0</v>
      </c>
      <c r="J169" t="n">
        <v>0</v>
      </c>
      <c r="K169" t="n">
        <v>0</v>
      </c>
      <c r="L169" t="n">
        <v>0</v>
      </c>
      <c r="M169" t="n">
        <v>0</v>
      </c>
      <c r="N169" t="n">
        <v>0</v>
      </c>
      <c r="O169" t="n">
        <v>0</v>
      </c>
      <c r="P169" t="n">
        <v>0</v>
      </c>
      <c r="Q169" t="n">
        <v>0</v>
      </c>
      <c r="R169" s="2" t="inlineStr"/>
    </row>
    <row r="170" ht="15" customHeight="1">
      <c r="A170" t="inlineStr">
        <is>
          <t>A 14402-2023</t>
        </is>
      </c>
      <c r="B170" s="1" t="n">
        <v>45012</v>
      </c>
      <c r="C170" s="1" t="n">
        <v>45964</v>
      </c>
      <c r="D170" t="inlineStr">
        <is>
          <t>UPPSALA LÄN</t>
        </is>
      </c>
      <c r="E170" t="inlineStr">
        <is>
          <t>ENKÖPING</t>
        </is>
      </c>
      <c r="G170" t="n">
        <v>9.5</v>
      </c>
      <c r="H170" t="n">
        <v>0</v>
      </c>
      <c r="I170" t="n">
        <v>0</v>
      </c>
      <c r="J170" t="n">
        <v>0</v>
      </c>
      <c r="K170" t="n">
        <v>0</v>
      </c>
      <c r="L170" t="n">
        <v>0</v>
      </c>
      <c r="M170" t="n">
        <v>0</v>
      </c>
      <c r="N170" t="n">
        <v>0</v>
      </c>
      <c r="O170" t="n">
        <v>0</v>
      </c>
      <c r="P170" t="n">
        <v>0</v>
      </c>
      <c r="Q170" t="n">
        <v>0</v>
      </c>
      <c r="R170" s="2" t="inlineStr"/>
    </row>
    <row r="171" ht="15" customHeight="1">
      <c r="A171" t="inlineStr">
        <is>
          <t>A 3550-2023</t>
        </is>
      </c>
      <c r="B171" s="1" t="n">
        <v>44950</v>
      </c>
      <c r="C171" s="1" t="n">
        <v>45964</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51932-2022</t>
        </is>
      </c>
      <c r="B172" s="1" t="n">
        <v>44872</v>
      </c>
      <c r="C172" s="1" t="n">
        <v>45964</v>
      </c>
      <c r="D172" t="inlineStr">
        <is>
          <t>UPPSALA LÄN</t>
        </is>
      </c>
      <c r="E172" t="inlineStr">
        <is>
          <t>ENKÖPING</t>
        </is>
      </c>
      <c r="G172" t="n">
        <v>5.5</v>
      </c>
      <c r="H172" t="n">
        <v>0</v>
      </c>
      <c r="I172" t="n">
        <v>0</v>
      </c>
      <c r="J172" t="n">
        <v>0</v>
      </c>
      <c r="K172" t="n">
        <v>0</v>
      </c>
      <c r="L172" t="n">
        <v>0</v>
      </c>
      <c r="M172" t="n">
        <v>0</v>
      </c>
      <c r="N172" t="n">
        <v>0</v>
      </c>
      <c r="O172" t="n">
        <v>0</v>
      </c>
      <c r="P172" t="n">
        <v>0</v>
      </c>
      <c r="Q172" t="n">
        <v>0</v>
      </c>
      <c r="R172" s="2" t="inlineStr"/>
    </row>
    <row r="173" ht="15" customHeight="1">
      <c r="A173" t="inlineStr">
        <is>
          <t>A 19014-2025</t>
        </is>
      </c>
      <c r="B173" s="1" t="n">
        <v>45764.59631944444</v>
      </c>
      <c r="C173" s="1" t="n">
        <v>45964</v>
      </c>
      <c r="D173" t="inlineStr">
        <is>
          <t>UPPSALA LÄN</t>
        </is>
      </c>
      <c r="E173" t="inlineStr">
        <is>
          <t>ENKÖPING</t>
        </is>
      </c>
      <c r="G173" t="n">
        <v>0.2</v>
      </c>
      <c r="H173" t="n">
        <v>0</v>
      </c>
      <c r="I173" t="n">
        <v>0</v>
      </c>
      <c r="J173" t="n">
        <v>0</v>
      </c>
      <c r="K173" t="n">
        <v>0</v>
      </c>
      <c r="L173" t="n">
        <v>0</v>
      </c>
      <c r="M173" t="n">
        <v>0</v>
      </c>
      <c r="N173" t="n">
        <v>0</v>
      </c>
      <c r="O173" t="n">
        <v>0</v>
      </c>
      <c r="P173" t="n">
        <v>0</v>
      </c>
      <c r="Q173" t="n">
        <v>0</v>
      </c>
      <c r="R173" s="2" t="inlineStr"/>
    </row>
    <row r="174" ht="15" customHeight="1">
      <c r="A174" t="inlineStr">
        <is>
          <t>A 27983-2024</t>
        </is>
      </c>
      <c r="B174" s="1" t="n">
        <v>45476</v>
      </c>
      <c r="C174" s="1" t="n">
        <v>45964</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12958-2024</t>
        </is>
      </c>
      <c r="B175" s="1" t="n">
        <v>45385</v>
      </c>
      <c r="C175" s="1" t="n">
        <v>45964</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19298-2023</t>
        </is>
      </c>
      <c r="B176" s="1" t="n">
        <v>45048</v>
      </c>
      <c r="C176" s="1" t="n">
        <v>45964</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6147-2021</t>
        </is>
      </c>
      <c r="B177" s="1" t="n">
        <v>44232</v>
      </c>
      <c r="C177" s="1" t="n">
        <v>45964</v>
      </c>
      <c r="D177" t="inlineStr">
        <is>
          <t>UPPSALA LÄN</t>
        </is>
      </c>
      <c r="E177" t="inlineStr">
        <is>
          <t>ENKÖPING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1651-2024</t>
        </is>
      </c>
      <c r="B178" s="1" t="n">
        <v>45306.73770833333</v>
      </c>
      <c r="C178" s="1" t="n">
        <v>45964</v>
      </c>
      <c r="D178" t="inlineStr">
        <is>
          <t>UPPSALA LÄN</t>
        </is>
      </c>
      <c r="E178" t="inlineStr">
        <is>
          <t>ENKÖPING</t>
        </is>
      </c>
      <c r="G178" t="n">
        <v>10.2</v>
      </c>
      <c r="H178" t="n">
        <v>0</v>
      </c>
      <c r="I178" t="n">
        <v>0</v>
      </c>
      <c r="J178" t="n">
        <v>0</v>
      </c>
      <c r="K178" t="n">
        <v>0</v>
      </c>
      <c r="L178" t="n">
        <v>0</v>
      </c>
      <c r="M178" t="n">
        <v>0</v>
      </c>
      <c r="N178" t="n">
        <v>0</v>
      </c>
      <c r="O178" t="n">
        <v>0</v>
      </c>
      <c r="P178" t="n">
        <v>0</v>
      </c>
      <c r="Q178" t="n">
        <v>0</v>
      </c>
      <c r="R178" s="2" t="inlineStr"/>
    </row>
    <row r="179" ht="15" customHeight="1">
      <c r="A179" t="inlineStr">
        <is>
          <t>A 15939-2022</t>
        </is>
      </c>
      <c r="B179" s="1" t="n">
        <v>44664</v>
      </c>
      <c r="C179" s="1" t="n">
        <v>45964</v>
      </c>
      <c r="D179" t="inlineStr">
        <is>
          <t>UPPSALA LÄN</t>
        </is>
      </c>
      <c r="E179" t="inlineStr">
        <is>
          <t>ENKÖPING</t>
        </is>
      </c>
      <c r="G179" t="n">
        <v>2</v>
      </c>
      <c r="H179" t="n">
        <v>0</v>
      </c>
      <c r="I179" t="n">
        <v>0</v>
      </c>
      <c r="J179" t="n">
        <v>0</v>
      </c>
      <c r="K179" t="n">
        <v>0</v>
      </c>
      <c r="L179" t="n">
        <v>0</v>
      </c>
      <c r="M179" t="n">
        <v>0</v>
      </c>
      <c r="N179" t="n">
        <v>0</v>
      </c>
      <c r="O179" t="n">
        <v>0</v>
      </c>
      <c r="P179" t="n">
        <v>0</v>
      </c>
      <c r="Q179" t="n">
        <v>0</v>
      </c>
      <c r="R179" s="2" t="inlineStr"/>
    </row>
    <row r="180" ht="15" customHeight="1">
      <c r="A180" t="inlineStr">
        <is>
          <t>A 57153-2021</t>
        </is>
      </c>
      <c r="B180" s="1" t="n">
        <v>44482</v>
      </c>
      <c r="C180" s="1" t="n">
        <v>45964</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58062-2020</t>
        </is>
      </c>
      <c r="B181" s="1" t="n">
        <v>44144</v>
      </c>
      <c r="C181" s="1" t="n">
        <v>45964</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51012-2024</t>
        </is>
      </c>
      <c r="B182" s="1" t="n">
        <v>45603.39686342593</v>
      </c>
      <c r="C182" s="1" t="n">
        <v>45964</v>
      </c>
      <c r="D182" t="inlineStr">
        <is>
          <t>UPPSALA LÄN</t>
        </is>
      </c>
      <c r="E182" t="inlineStr">
        <is>
          <t>ENKÖPING</t>
        </is>
      </c>
      <c r="G182" t="n">
        <v>2.7</v>
      </c>
      <c r="H182" t="n">
        <v>0</v>
      </c>
      <c r="I182" t="n">
        <v>0</v>
      </c>
      <c r="J182" t="n">
        <v>0</v>
      </c>
      <c r="K182" t="n">
        <v>0</v>
      </c>
      <c r="L182" t="n">
        <v>0</v>
      </c>
      <c r="M182" t="n">
        <v>0</v>
      </c>
      <c r="N182" t="n">
        <v>0</v>
      </c>
      <c r="O182" t="n">
        <v>0</v>
      </c>
      <c r="P182" t="n">
        <v>0</v>
      </c>
      <c r="Q182" t="n">
        <v>0</v>
      </c>
      <c r="R182" s="2" t="inlineStr"/>
    </row>
    <row r="183" ht="15" customHeight="1">
      <c r="A183" t="inlineStr">
        <is>
          <t>A 43697-2024</t>
        </is>
      </c>
      <c r="B183" s="1" t="n">
        <v>45569</v>
      </c>
      <c r="C183" s="1" t="n">
        <v>45964</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57940-2022</t>
        </is>
      </c>
      <c r="B184" s="1" t="n">
        <v>44900</v>
      </c>
      <c r="C184" s="1" t="n">
        <v>45964</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45283-2022</t>
        </is>
      </c>
      <c r="B185" s="1" t="n">
        <v>44844</v>
      </c>
      <c r="C185" s="1" t="n">
        <v>45964</v>
      </c>
      <c r="D185" t="inlineStr">
        <is>
          <t>UPPSALA LÄN</t>
        </is>
      </c>
      <c r="E185" t="inlineStr">
        <is>
          <t>ENKÖPING</t>
        </is>
      </c>
      <c r="G185" t="n">
        <v>5.9</v>
      </c>
      <c r="H185" t="n">
        <v>0</v>
      </c>
      <c r="I185" t="n">
        <v>0</v>
      </c>
      <c r="J185" t="n">
        <v>0</v>
      </c>
      <c r="K185" t="n">
        <v>0</v>
      </c>
      <c r="L185" t="n">
        <v>0</v>
      </c>
      <c r="M185" t="n">
        <v>0</v>
      </c>
      <c r="N185" t="n">
        <v>0</v>
      </c>
      <c r="O185" t="n">
        <v>0</v>
      </c>
      <c r="P185" t="n">
        <v>0</v>
      </c>
      <c r="Q185" t="n">
        <v>0</v>
      </c>
      <c r="R185" s="2" t="inlineStr"/>
    </row>
    <row r="186" ht="15" customHeight="1">
      <c r="A186" t="inlineStr">
        <is>
          <t>A 59497-2022</t>
        </is>
      </c>
      <c r="B186" s="1" t="n">
        <v>44907.48258101852</v>
      </c>
      <c r="C186" s="1" t="n">
        <v>45964</v>
      </c>
      <c r="D186" t="inlineStr">
        <is>
          <t>UPPSALA LÄN</t>
        </is>
      </c>
      <c r="E186" t="inlineStr">
        <is>
          <t>ENKÖPING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9041-2023</t>
        </is>
      </c>
      <c r="B187" s="1" t="n">
        <v>44979</v>
      </c>
      <c r="C187" s="1" t="n">
        <v>45964</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41826-2024</t>
        </is>
      </c>
      <c r="B188" s="1" t="n">
        <v>45561</v>
      </c>
      <c r="C188" s="1" t="n">
        <v>45964</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12755-2025</t>
        </is>
      </c>
      <c r="B189" s="1" t="n">
        <v>45733.56541666666</v>
      </c>
      <c r="C189" s="1" t="n">
        <v>45964</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42589-2022</t>
        </is>
      </c>
      <c r="B190" s="1" t="n">
        <v>44831</v>
      </c>
      <c r="C190" s="1" t="n">
        <v>45964</v>
      </c>
      <c r="D190" t="inlineStr">
        <is>
          <t>UPPSALA LÄN</t>
        </is>
      </c>
      <c r="E190" t="inlineStr">
        <is>
          <t>ENKÖPING</t>
        </is>
      </c>
      <c r="G190" t="n">
        <v>20</v>
      </c>
      <c r="H190" t="n">
        <v>0</v>
      </c>
      <c r="I190" t="n">
        <v>0</v>
      </c>
      <c r="J190" t="n">
        <v>0</v>
      </c>
      <c r="K190" t="n">
        <v>0</v>
      </c>
      <c r="L190" t="n">
        <v>0</v>
      </c>
      <c r="M190" t="n">
        <v>0</v>
      </c>
      <c r="N190" t="n">
        <v>0</v>
      </c>
      <c r="O190" t="n">
        <v>0</v>
      </c>
      <c r="P190" t="n">
        <v>0</v>
      </c>
      <c r="Q190" t="n">
        <v>0</v>
      </c>
      <c r="R190" s="2" t="inlineStr"/>
    </row>
    <row r="191" ht="15" customHeight="1">
      <c r="A191" t="inlineStr">
        <is>
          <t>A 59027-2024</t>
        </is>
      </c>
      <c r="B191" s="1" t="n">
        <v>45636.68755787037</v>
      </c>
      <c r="C191" s="1" t="n">
        <v>45964</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63310-2021</t>
        </is>
      </c>
      <c r="B192" s="1" t="n">
        <v>44508</v>
      </c>
      <c r="C192" s="1" t="n">
        <v>45964</v>
      </c>
      <c r="D192" t="inlineStr">
        <is>
          <t>UPPSALA LÄN</t>
        </is>
      </c>
      <c r="E192" t="inlineStr">
        <is>
          <t>ENKÖPING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840-2025</t>
        </is>
      </c>
      <c r="B193" s="1" t="n">
        <v>45665</v>
      </c>
      <c r="C193" s="1" t="n">
        <v>45964</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37115-2024</t>
        </is>
      </c>
      <c r="B194" s="1" t="n">
        <v>45539</v>
      </c>
      <c r="C194" s="1" t="n">
        <v>45964</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53587-2024</t>
        </is>
      </c>
      <c r="B195" s="1" t="n">
        <v>45614.66953703704</v>
      </c>
      <c r="C195" s="1" t="n">
        <v>45964</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20440-2025</t>
        </is>
      </c>
      <c r="B196" s="1" t="n">
        <v>45775</v>
      </c>
      <c r="C196" s="1" t="n">
        <v>45964</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11503-2024</t>
        </is>
      </c>
      <c r="B197" s="1" t="n">
        <v>45372.68020833333</v>
      </c>
      <c r="C197" s="1" t="n">
        <v>45964</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45142-2023</t>
        </is>
      </c>
      <c r="B198" s="1" t="n">
        <v>45191.4702662037</v>
      </c>
      <c r="C198" s="1" t="n">
        <v>45964</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11918-2025</t>
        </is>
      </c>
      <c r="B199" s="1" t="n">
        <v>45728.49331018519</v>
      </c>
      <c r="C199" s="1" t="n">
        <v>45964</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59121-2021</t>
        </is>
      </c>
      <c r="B200" s="1" t="n">
        <v>44490</v>
      </c>
      <c r="C200" s="1" t="n">
        <v>45964</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19488-2022</t>
        </is>
      </c>
      <c r="B201" s="1" t="n">
        <v>44693</v>
      </c>
      <c r="C201" s="1" t="n">
        <v>45964</v>
      </c>
      <c r="D201" t="inlineStr">
        <is>
          <t>UPPSALA LÄN</t>
        </is>
      </c>
      <c r="E201" t="inlineStr">
        <is>
          <t>ENKÖPING</t>
        </is>
      </c>
      <c r="G201" t="n">
        <v>7.8</v>
      </c>
      <c r="H201" t="n">
        <v>0</v>
      </c>
      <c r="I201" t="n">
        <v>0</v>
      </c>
      <c r="J201" t="n">
        <v>0</v>
      </c>
      <c r="K201" t="n">
        <v>0</v>
      </c>
      <c r="L201" t="n">
        <v>0</v>
      </c>
      <c r="M201" t="n">
        <v>0</v>
      </c>
      <c r="N201" t="n">
        <v>0</v>
      </c>
      <c r="O201" t="n">
        <v>0</v>
      </c>
      <c r="P201" t="n">
        <v>0</v>
      </c>
      <c r="Q201" t="n">
        <v>0</v>
      </c>
      <c r="R201" s="2" t="inlineStr"/>
    </row>
    <row r="202" ht="15" customHeight="1">
      <c r="A202" t="inlineStr">
        <is>
          <t>A 39115-2024</t>
        </is>
      </c>
      <c r="B202" s="1" t="n">
        <v>45548</v>
      </c>
      <c r="C202" s="1" t="n">
        <v>45964</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25334-2023</t>
        </is>
      </c>
      <c r="B203" s="1" t="n">
        <v>45083</v>
      </c>
      <c r="C203" s="1" t="n">
        <v>45964</v>
      </c>
      <c r="D203" t="inlineStr">
        <is>
          <t>UPPSALA LÄN</t>
        </is>
      </c>
      <c r="E203" t="inlineStr">
        <is>
          <t>ENKÖPING</t>
        </is>
      </c>
      <c r="G203" t="n">
        <v>0.2</v>
      </c>
      <c r="H203" t="n">
        <v>0</v>
      </c>
      <c r="I203" t="n">
        <v>0</v>
      </c>
      <c r="J203" t="n">
        <v>0</v>
      </c>
      <c r="K203" t="n">
        <v>0</v>
      </c>
      <c r="L203" t="n">
        <v>0</v>
      </c>
      <c r="M203" t="n">
        <v>0</v>
      </c>
      <c r="N203" t="n">
        <v>0</v>
      </c>
      <c r="O203" t="n">
        <v>0</v>
      </c>
      <c r="P203" t="n">
        <v>0</v>
      </c>
      <c r="Q203" t="n">
        <v>0</v>
      </c>
      <c r="R203" s="2" t="inlineStr"/>
    </row>
    <row r="204" ht="15" customHeight="1">
      <c r="A204" t="inlineStr">
        <is>
          <t>A 5188-2022</t>
        </is>
      </c>
      <c r="B204" s="1" t="n">
        <v>44594.4471412037</v>
      </c>
      <c r="C204" s="1" t="n">
        <v>45964</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31242-2024</t>
        </is>
      </c>
      <c r="B205" s="1" t="n">
        <v>45503</v>
      </c>
      <c r="C205" s="1" t="n">
        <v>45964</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56837-2024</t>
        </is>
      </c>
      <c r="B206" s="1" t="n">
        <v>45628</v>
      </c>
      <c r="C206" s="1" t="n">
        <v>45964</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31622-2022</t>
        </is>
      </c>
      <c r="B207" s="1" t="n">
        <v>44775</v>
      </c>
      <c r="C207" s="1" t="n">
        <v>45964</v>
      </c>
      <c r="D207" t="inlineStr">
        <is>
          <t>UPPSALA LÄN</t>
        </is>
      </c>
      <c r="E207" t="inlineStr">
        <is>
          <t>ENKÖPING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845-2025</t>
        </is>
      </c>
      <c r="B208" s="1" t="n">
        <v>45665</v>
      </c>
      <c r="C208" s="1" t="n">
        <v>45964</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849-2025</t>
        </is>
      </c>
      <c r="B209" s="1" t="n">
        <v>45665</v>
      </c>
      <c r="C209" s="1" t="n">
        <v>45964</v>
      </c>
      <c r="D209" t="inlineStr">
        <is>
          <t>UPPSALA LÄN</t>
        </is>
      </c>
      <c r="E209" t="inlineStr">
        <is>
          <t>ENKÖPING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12102-2024</t>
        </is>
      </c>
      <c r="B210" s="1" t="n">
        <v>45377</v>
      </c>
      <c r="C210" s="1" t="n">
        <v>45964</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59602-2024</t>
        </is>
      </c>
      <c r="B211" s="1" t="n">
        <v>45638</v>
      </c>
      <c r="C211" s="1" t="n">
        <v>45964</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18821-2023</t>
        </is>
      </c>
      <c r="B212" s="1" t="n">
        <v>45044.3782175926</v>
      </c>
      <c r="C212" s="1" t="n">
        <v>45964</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44131-2023</t>
        </is>
      </c>
      <c r="B213" s="1" t="n">
        <v>45188</v>
      </c>
      <c r="C213" s="1" t="n">
        <v>45964</v>
      </c>
      <c r="D213" t="inlineStr">
        <is>
          <t>UPPSALA LÄN</t>
        </is>
      </c>
      <c r="E213" t="inlineStr">
        <is>
          <t>ENKÖPING</t>
        </is>
      </c>
      <c r="G213" t="n">
        <v>0.3</v>
      </c>
      <c r="H213" t="n">
        <v>0</v>
      </c>
      <c r="I213" t="n">
        <v>0</v>
      </c>
      <c r="J213" t="n">
        <v>0</v>
      </c>
      <c r="K213" t="n">
        <v>0</v>
      </c>
      <c r="L213" t="n">
        <v>0</v>
      </c>
      <c r="M213" t="n">
        <v>0</v>
      </c>
      <c r="N213" t="n">
        <v>0</v>
      </c>
      <c r="O213" t="n">
        <v>0</v>
      </c>
      <c r="P213" t="n">
        <v>0</v>
      </c>
      <c r="Q213" t="n">
        <v>0</v>
      </c>
      <c r="R213" s="2" t="inlineStr"/>
    </row>
    <row r="214" ht="15" customHeight="1">
      <c r="A214" t="inlineStr">
        <is>
          <t>A 62158-2023</t>
        </is>
      </c>
      <c r="B214" s="1" t="n">
        <v>45267</v>
      </c>
      <c r="C214" s="1" t="n">
        <v>45964</v>
      </c>
      <c r="D214" t="inlineStr">
        <is>
          <t>UPPSALA LÄN</t>
        </is>
      </c>
      <c r="E214" t="inlineStr">
        <is>
          <t>ENKÖPING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60533-2021</t>
        </is>
      </c>
      <c r="B215" s="1" t="n">
        <v>44496</v>
      </c>
      <c r="C215" s="1" t="n">
        <v>45964</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60350-2022</t>
        </is>
      </c>
      <c r="B216" s="1" t="n">
        <v>44910</v>
      </c>
      <c r="C216" s="1" t="n">
        <v>45964</v>
      </c>
      <c r="D216" t="inlineStr">
        <is>
          <t>UPPSALA LÄN</t>
        </is>
      </c>
      <c r="E216" t="inlineStr">
        <is>
          <t>ENKÖPING</t>
        </is>
      </c>
      <c r="F216" t="inlineStr">
        <is>
          <t>Allmännings- och besparingsskogar</t>
        </is>
      </c>
      <c r="G216" t="n">
        <v>3.5</v>
      </c>
      <c r="H216" t="n">
        <v>0</v>
      </c>
      <c r="I216" t="n">
        <v>0</v>
      </c>
      <c r="J216" t="n">
        <v>0</v>
      </c>
      <c r="K216" t="n">
        <v>0</v>
      </c>
      <c r="L216" t="n">
        <v>0</v>
      </c>
      <c r="M216" t="n">
        <v>0</v>
      </c>
      <c r="N216" t="n">
        <v>0</v>
      </c>
      <c r="O216" t="n">
        <v>0</v>
      </c>
      <c r="P216" t="n">
        <v>0</v>
      </c>
      <c r="Q216" t="n">
        <v>0</v>
      </c>
      <c r="R216" s="2" t="inlineStr"/>
    </row>
    <row r="217" ht="15" customHeight="1">
      <c r="A217" t="inlineStr">
        <is>
          <t>A 2850-2025</t>
        </is>
      </c>
      <c r="B217" s="1" t="n">
        <v>45677</v>
      </c>
      <c r="C217" s="1" t="n">
        <v>45964</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57335-2024</t>
        </is>
      </c>
      <c r="B218" s="1" t="n">
        <v>45629.63302083333</v>
      </c>
      <c r="C218" s="1" t="n">
        <v>45964</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35647-2021</t>
        </is>
      </c>
      <c r="B219" s="1" t="n">
        <v>44386</v>
      </c>
      <c r="C219" s="1" t="n">
        <v>45964</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35052-2024</t>
        </is>
      </c>
      <c r="B220" s="1" t="n">
        <v>45527.6516087963</v>
      </c>
      <c r="C220" s="1" t="n">
        <v>45964</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51008-2024</t>
        </is>
      </c>
      <c r="B221" s="1" t="n">
        <v>45603.39041666667</v>
      </c>
      <c r="C221" s="1" t="n">
        <v>45964</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57835-2024</t>
        </is>
      </c>
      <c r="B222" s="1" t="n">
        <v>45631.39947916667</v>
      </c>
      <c r="C222" s="1" t="n">
        <v>45964</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53208-2023</t>
        </is>
      </c>
      <c r="B223" s="1" t="n">
        <v>45226</v>
      </c>
      <c r="C223" s="1" t="n">
        <v>45964</v>
      </c>
      <c r="D223" t="inlineStr">
        <is>
          <t>UPPSALA LÄN</t>
        </is>
      </c>
      <c r="E223" t="inlineStr">
        <is>
          <t>ENKÖPING</t>
        </is>
      </c>
      <c r="G223" t="n">
        <v>4.3</v>
      </c>
      <c r="H223" t="n">
        <v>0</v>
      </c>
      <c r="I223" t="n">
        <v>0</v>
      </c>
      <c r="J223" t="n">
        <v>0</v>
      </c>
      <c r="K223" t="n">
        <v>0</v>
      </c>
      <c r="L223" t="n">
        <v>0</v>
      </c>
      <c r="M223" t="n">
        <v>0</v>
      </c>
      <c r="N223" t="n">
        <v>0</v>
      </c>
      <c r="O223" t="n">
        <v>0</v>
      </c>
      <c r="P223" t="n">
        <v>0</v>
      </c>
      <c r="Q223" t="n">
        <v>0</v>
      </c>
      <c r="R223" s="2" t="inlineStr"/>
    </row>
    <row r="224" ht="15" customHeight="1">
      <c r="A224" t="inlineStr">
        <is>
          <t>A 19013-2025</t>
        </is>
      </c>
      <c r="B224" s="1" t="n">
        <v>45764.59533564815</v>
      </c>
      <c r="C224" s="1" t="n">
        <v>45964</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24815-2022</t>
        </is>
      </c>
      <c r="B225" s="1" t="n">
        <v>44728</v>
      </c>
      <c r="C225" s="1" t="n">
        <v>45964</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57078-2021</t>
        </is>
      </c>
      <c r="B226" s="1" t="n">
        <v>44482.57855324074</v>
      </c>
      <c r="C226" s="1" t="n">
        <v>45964</v>
      </c>
      <c r="D226" t="inlineStr">
        <is>
          <t>UPPSALA LÄN</t>
        </is>
      </c>
      <c r="E226" t="inlineStr">
        <is>
          <t>ENKÖPING</t>
        </is>
      </c>
      <c r="G226" t="n">
        <v>3</v>
      </c>
      <c r="H226" t="n">
        <v>0</v>
      </c>
      <c r="I226" t="n">
        <v>0</v>
      </c>
      <c r="J226" t="n">
        <v>0</v>
      </c>
      <c r="K226" t="n">
        <v>0</v>
      </c>
      <c r="L226" t="n">
        <v>0</v>
      </c>
      <c r="M226" t="n">
        <v>0</v>
      </c>
      <c r="N226" t="n">
        <v>0</v>
      </c>
      <c r="O226" t="n">
        <v>0</v>
      </c>
      <c r="P226" t="n">
        <v>0</v>
      </c>
      <c r="Q226" t="n">
        <v>0</v>
      </c>
      <c r="R226" s="2" t="inlineStr"/>
    </row>
    <row r="227" ht="15" customHeight="1">
      <c r="A227" t="inlineStr">
        <is>
          <t>A 10458-2022</t>
        </is>
      </c>
      <c r="B227" s="1" t="n">
        <v>44623.56711805556</v>
      </c>
      <c r="C227" s="1" t="n">
        <v>45964</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2164-2023</t>
        </is>
      </c>
      <c r="B228" s="1" t="n">
        <v>44941</v>
      </c>
      <c r="C228" s="1" t="n">
        <v>45964</v>
      </c>
      <c r="D228" t="inlineStr">
        <is>
          <t>UPPSALA LÄN</t>
        </is>
      </c>
      <c r="E228" t="inlineStr">
        <is>
          <t>ENKÖPING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44115-2024</t>
        </is>
      </c>
      <c r="B229" s="1" t="n">
        <v>45572</v>
      </c>
      <c r="C229" s="1" t="n">
        <v>45964</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45964</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61952-2021</t>
        </is>
      </c>
      <c r="B231" s="1" t="n">
        <v>44502</v>
      </c>
      <c r="C231" s="1" t="n">
        <v>45964</v>
      </c>
      <c r="D231" t="inlineStr">
        <is>
          <t>UPPSALA LÄN</t>
        </is>
      </c>
      <c r="E231" t="inlineStr">
        <is>
          <t>ENKÖPING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22156-2025</t>
        </is>
      </c>
      <c r="B232" s="1" t="n">
        <v>45785.57512731481</v>
      </c>
      <c r="C232" s="1" t="n">
        <v>45964</v>
      </c>
      <c r="D232" t="inlineStr">
        <is>
          <t>UPPSALA LÄN</t>
        </is>
      </c>
      <c r="E232" t="inlineStr">
        <is>
          <t>ENKÖPING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22150-2025</t>
        </is>
      </c>
      <c r="B233" s="1" t="n">
        <v>45785.56398148148</v>
      </c>
      <c r="C233" s="1" t="n">
        <v>45964</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63402-2023</t>
        </is>
      </c>
      <c r="B234" s="1" t="n">
        <v>45274.50646990741</v>
      </c>
      <c r="C234" s="1" t="n">
        <v>45964</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14083-2025</t>
        </is>
      </c>
      <c r="B235" s="1" t="n">
        <v>45740</v>
      </c>
      <c r="C235" s="1" t="n">
        <v>45964</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30087-2024</t>
        </is>
      </c>
      <c r="B236" s="1" t="n">
        <v>45489.39447916667</v>
      </c>
      <c r="C236" s="1" t="n">
        <v>45964</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54776-2024</t>
        </is>
      </c>
      <c r="B237" s="1" t="n">
        <v>45618</v>
      </c>
      <c r="C237" s="1" t="n">
        <v>45964</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22729-2025</t>
        </is>
      </c>
      <c r="B238" s="1" t="n">
        <v>45789.57790509259</v>
      </c>
      <c r="C238" s="1" t="n">
        <v>45964</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14518-2025</t>
        </is>
      </c>
      <c r="B239" s="1" t="n">
        <v>45741</v>
      </c>
      <c r="C239" s="1" t="n">
        <v>45964</v>
      </c>
      <c r="D239" t="inlineStr">
        <is>
          <t>UPPSALA LÄN</t>
        </is>
      </c>
      <c r="E239" t="inlineStr">
        <is>
          <t>ENKÖPING</t>
        </is>
      </c>
      <c r="G239" t="n">
        <v>2</v>
      </c>
      <c r="H239" t="n">
        <v>0</v>
      </c>
      <c r="I239" t="n">
        <v>0</v>
      </c>
      <c r="J239" t="n">
        <v>0</v>
      </c>
      <c r="K239" t="n">
        <v>0</v>
      </c>
      <c r="L239" t="n">
        <v>0</v>
      </c>
      <c r="M239" t="n">
        <v>0</v>
      </c>
      <c r="N239" t="n">
        <v>0</v>
      </c>
      <c r="O239" t="n">
        <v>0</v>
      </c>
      <c r="P239" t="n">
        <v>0</v>
      </c>
      <c r="Q239" t="n">
        <v>0</v>
      </c>
      <c r="R239" s="2" t="inlineStr"/>
    </row>
    <row r="240" ht="15" customHeight="1">
      <c r="A240" t="inlineStr">
        <is>
          <t>A 69879-2021</t>
        </is>
      </c>
      <c r="B240" s="1" t="n">
        <v>44532</v>
      </c>
      <c r="C240" s="1" t="n">
        <v>45964</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22677-2025</t>
        </is>
      </c>
      <c r="B241" s="1" t="n">
        <v>45789.49515046296</v>
      </c>
      <c r="C241" s="1" t="n">
        <v>45964</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22679-2025</t>
        </is>
      </c>
      <c r="B242" s="1" t="n">
        <v>45789.49747685185</v>
      </c>
      <c r="C242" s="1" t="n">
        <v>45964</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16916-2023</t>
        </is>
      </c>
      <c r="B243" s="1" t="n">
        <v>45033.58347222222</v>
      </c>
      <c r="C243" s="1" t="n">
        <v>45964</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22770-2025</t>
        </is>
      </c>
      <c r="B244" s="1" t="n">
        <v>45789.63454861111</v>
      </c>
      <c r="C244" s="1" t="n">
        <v>45964</v>
      </c>
      <c r="D244" t="inlineStr">
        <is>
          <t>UPPSALA LÄN</t>
        </is>
      </c>
      <c r="E244" t="inlineStr">
        <is>
          <t>ENKÖPING</t>
        </is>
      </c>
      <c r="G244" t="n">
        <v>4.5</v>
      </c>
      <c r="H244" t="n">
        <v>0</v>
      </c>
      <c r="I244" t="n">
        <v>0</v>
      </c>
      <c r="J244" t="n">
        <v>0</v>
      </c>
      <c r="K244" t="n">
        <v>0</v>
      </c>
      <c r="L244" t="n">
        <v>0</v>
      </c>
      <c r="M244" t="n">
        <v>0</v>
      </c>
      <c r="N244" t="n">
        <v>0</v>
      </c>
      <c r="O244" t="n">
        <v>0</v>
      </c>
      <c r="P244" t="n">
        <v>0</v>
      </c>
      <c r="Q244" t="n">
        <v>0</v>
      </c>
      <c r="R244" s="2" t="inlineStr"/>
    </row>
    <row r="245" ht="15" customHeight="1">
      <c r="A245" t="inlineStr">
        <is>
          <t>A 22800-2025</t>
        </is>
      </c>
      <c r="B245" s="1" t="n">
        <v>45789.6669212963</v>
      </c>
      <c r="C245" s="1" t="n">
        <v>45964</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56886-2023</t>
        </is>
      </c>
      <c r="B246" s="1" t="n">
        <v>45239</v>
      </c>
      <c r="C246" s="1" t="n">
        <v>45964</v>
      </c>
      <c r="D246" t="inlineStr">
        <is>
          <t>UPPSALA LÄN</t>
        </is>
      </c>
      <c r="E246" t="inlineStr">
        <is>
          <t>ENKÖPING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6981-2025</t>
        </is>
      </c>
      <c r="B247" s="1" t="n">
        <v>45701</v>
      </c>
      <c r="C247" s="1" t="n">
        <v>45964</v>
      </c>
      <c r="D247" t="inlineStr">
        <is>
          <t>UPPSALA LÄN</t>
        </is>
      </c>
      <c r="E247" t="inlineStr">
        <is>
          <t>ENKÖPING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22786-2025</t>
        </is>
      </c>
      <c r="B248" s="1" t="n">
        <v>45789.64643518518</v>
      </c>
      <c r="C248" s="1" t="n">
        <v>45964</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68123-2021</t>
        </is>
      </c>
      <c r="B249" s="1" t="n">
        <v>44526.39126157408</v>
      </c>
      <c r="C249" s="1" t="n">
        <v>45964</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22680-2025</t>
        </is>
      </c>
      <c r="B250" s="1" t="n">
        <v>45789.5005787037</v>
      </c>
      <c r="C250" s="1" t="n">
        <v>45964</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22802-2025</t>
        </is>
      </c>
      <c r="B251" s="1" t="n">
        <v>45789.6686574074</v>
      </c>
      <c r="C251" s="1" t="n">
        <v>45964</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22793-2025</t>
        </is>
      </c>
      <c r="B252" s="1" t="n">
        <v>45789.65693287037</v>
      </c>
      <c r="C252" s="1" t="n">
        <v>45964</v>
      </c>
      <c r="D252" t="inlineStr">
        <is>
          <t>UPPSALA LÄN</t>
        </is>
      </c>
      <c r="E252" t="inlineStr">
        <is>
          <t>ENKÖPING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22795-2025</t>
        </is>
      </c>
      <c r="B253" s="1" t="n">
        <v>45789.65944444444</v>
      </c>
      <c r="C253" s="1" t="n">
        <v>45964</v>
      </c>
      <c r="D253" t="inlineStr">
        <is>
          <t>UPPSALA LÄN</t>
        </is>
      </c>
      <c r="E253" t="inlineStr">
        <is>
          <t>ENKÖPING</t>
        </is>
      </c>
      <c r="G253" t="n">
        <v>10.4</v>
      </c>
      <c r="H253" t="n">
        <v>0</v>
      </c>
      <c r="I253" t="n">
        <v>0</v>
      </c>
      <c r="J253" t="n">
        <v>0</v>
      </c>
      <c r="K253" t="n">
        <v>0</v>
      </c>
      <c r="L253" t="n">
        <v>0</v>
      </c>
      <c r="M253" t="n">
        <v>0</v>
      </c>
      <c r="N253" t="n">
        <v>0</v>
      </c>
      <c r="O253" t="n">
        <v>0</v>
      </c>
      <c r="P253" t="n">
        <v>0</v>
      </c>
      <c r="Q253" t="n">
        <v>0</v>
      </c>
      <c r="R253" s="2" t="inlineStr"/>
    </row>
    <row r="254" ht="15" customHeight="1">
      <c r="A254" t="inlineStr">
        <is>
          <t>A 22725-2025</t>
        </is>
      </c>
      <c r="B254" s="1" t="n">
        <v>45789.57371527778</v>
      </c>
      <c r="C254" s="1" t="n">
        <v>45964</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15757-2023</t>
        </is>
      </c>
      <c r="B255" s="1" t="n">
        <v>45021</v>
      </c>
      <c r="C255" s="1" t="n">
        <v>45964</v>
      </c>
      <c r="D255" t="inlineStr">
        <is>
          <t>UPPSALA LÄN</t>
        </is>
      </c>
      <c r="E255" t="inlineStr">
        <is>
          <t>ENKÖPING</t>
        </is>
      </c>
      <c r="G255" t="n">
        <v>3</v>
      </c>
      <c r="H255" t="n">
        <v>0</v>
      </c>
      <c r="I255" t="n">
        <v>0</v>
      </c>
      <c r="J255" t="n">
        <v>0</v>
      </c>
      <c r="K255" t="n">
        <v>0</v>
      </c>
      <c r="L255" t="n">
        <v>0</v>
      </c>
      <c r="M255" t="n">
        <v>0</v>
      </c>
      <c r="N255" t="n">
        <v>0</v>
      </c>
      <c r="O255" t="n">
        <v>0</v>
      </c>
      <c r="P255" t="n">
        <v>0</v>
      </c>
      <c r="Q255" t="n">
        <v>0</v>
      </c>
      <c r="R255" s="2" t="inlineStr"/>
    </row>
    <row r="256" ht="15" customHeight="1">
      <c r="A256" t="inlineStr">
        <is>
          <t>A 18592-2021</t>
        </is>
      </c>
      <c r="B256" s="1" t="n">
        <v>44306</v>
      </c>
      <c r="C256" s="1" t="n">
        <v>45964</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2161-2023</t>
        </is>
      </c>
      <c r="B257" s="1" t="n">
        <v>44941</v>
      </c>
      <c r="C257" s="1" t="n">
        <v>45964</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2165-2023</t>
        </is>
      </c>
      <c r="B258" s="1" t="n">
        <v>44941</v>
      </c>
      <c r="C258" s="1" t="n">
        <v>45964</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6356-2022</t>
        </is>
      </c>
      <c r="B259" s="1" t="n">
        <v>44600</v>
      </c>
      <c r="C259" s="1" t="n">
        <v>45964</v>
      </c>
      <c r="D259" t="inlineStr">
        <is>
          <t>UPPSALA LÄN</t>
        </is>
      </c>
      <c r="E259" t="inlineStr">
        <is>
          <t>ENKÖPING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20112-2024</t>
        </is>
      </c>
      <c r="B260" s="1" t="n">
        <v>45434</v>
      </c>
      <c r="C260" s="1" t="n">
        <v>45964</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22981-2025</t>
        </is>
      </c>
      <c r="B261" s="1" t="n">
        <v>45790.56964120371</v>
      </c>
      <c r="C261" s="1" t="n">
        <v>45964</v>
      </c>
      <c r="D261" t="inlineStr">
        <is>
          <t>UPPSALA LÄN</t>
        </is>
      </c>
      <c r="E261" t="inlineStr">
        <is>
          <t>ENKÖPING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13816-2021</t>
        </is>
      </c>
      <c r="B262" s="1" t="n">
        <v>44276</v>
      </c>
      <c r="C262" s="1" t="n">
        <v>45964</v>
      </c>
      <c r="D262" t="inlineStr">
        <is>
          <t>UPPSALA LÄN</t>
        </is>
      </c>
      <c r="E262" t="inlineStr">
        <is>
          <t>ENKÖPING</t>
        </is>
      </c>
      <c r="G262" t="n">
        <v>0.4</v>
      </c>
      <c r="H262" t="n">
        <v>0</v>
      </c>
      <c r="I262" t="n">
        <v>0</v>
      </c>
      <c r="J262" t="n">
        <v>0</v>
      </c>
      <c r="K262" t="n">
        <v>0</v>
      </c>
      <c r="L262" t="n">
        <v>0</v>
      </c>
      <c r="M262" t="n">
        <v>0</v>
      </c>
      <c r="N262" t="n">
        <v>0</v>
      </c>
      <c r="O262" t="n">
        <v>0</v>
      </c>
      <c r="P262" t="n">
        <v>0</v>
      </c>
      <c r="Q262" t="n">
        <v>0</v>
      </c>
      <c r="R262" s="2" t="inlineStr"/>
    </row>
    <row r="263" ht="15" customHeight="1">
      <c r="A263" t="inlineStr">
        <is>
          <t>A 45956-2024</t>
        </is>
      </c>
      <c r="B263" s="1" t="n">
        <v>45580</v>
      </c>
      <c r="C263" s="1" t="n">
        <v>45964</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10831-2024</t>
        </is>
      </c>
      <c r="B264" s="1" t="n">
        <v>45369</v>
      </c>
      <c r="C264" s="1" t="n">
        <v>45964</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8020-2022</t>
        </is>
      </c>
      <c r="B265" s="1" t="n">
        <v>44609</v>
      </c>
      <c r="C265" s="1" t="n">
        <v>45964</v>
      </c>
      <c r="D265" t="inlineStr">
        <is>
          <t>UPPSALA LÄN</t>
        </is>
      </c>
      <c r="E265" t="inlineStr">
        <is>
          <t>ENKÖPING</t>
        </is>
      </c>
      <c r="G265" t="n">
        <v>6</v>
      </c>
      <c r="H265" t="n">
        <v>0</v>
      </c>
      <c r="I265" t="n">
        <v>0</v>
      </c>
      <c r="J265" t="n">
        <v>0</v>
      </c>
      <c r="K265" t="n">
        <v>0</v>
      </c>
      <c r="L265" t="n">
        <v>0</v>
      </c>
      <c r="M265" t="n">
        <v>0</v>
      </c>
      <c r="N265" t="n">
        <v>0</v>
      </c>
      <c r="O265" t="n">
        <v>0</v>
      </c>
      <c r="P265" t="n">
        <v>0</v>
      </c>
      <c r="Q265" t="n">
        <v>0</v>
      </c>
      <c r="R265" s="2" t="inlineStr"/>
    </row>
    <row r="266" ht="15" customHeight="1">
      <c r="A266" t="inlineStr">
        <is>
          <t>A 74090-2021</t>
        </is>
      </c>
      <c r="B266" s="1" t="n">
        <v>44557</v>
      </c>
      <c r="C266" s="1" t="n">
        <v>45964</v>
      </c>
      <c r="D266" t="inlineStr">
        <is>
          <t>UPPSALA LÄN</t>
        </is>
      </c>
      <c r="E266" t="inlineStr">
        <is>
          <t>ENKÖPING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2162-2023</t>
        </is>
      </c>
      <c r="B267" s="1" t="n">
        <v>44941</v>
      </c>
      <c r="C267" s="1" t="n">
        <v>45964</v>
      </c>
      <c r="D267" t="inlineStr">
        <is>
          <t>UPPSALA LÄN</t>
        </is>
      </c>
      <c r="E267" t="inlineStr">
        <is>
          <t>ENKÖPING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34805-2024</t>
        </is>
      </c>
      <c r="B268" s="1" t="n">
        <v>45526</v>
      </c>
      <c r="C268" s="1" t="n">
        <v>45964</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17729-2023</t>
        </is>
      </c>
      <c r="B269" s="1" t="n">
        <v>45037</v>
      </c>
      <c r="C269" s="1" t="n">
        <v>45964</v>
      </c>
      <c r="D269" t="inlineStr">
        <is>
          <t>UPPSALA LÄN</t>
        </is>
      </c>
      <c r="E269" t="inlineStr">
        <is>
          <t>ENKÖPING</t>
        </is>
      </c>
      <c r="G269" t="n">
        <v>10.2</v>
      </c>
      <c r="H269" t="n">
        <v>0</v>
      </c>
      <c r="I269" t="n">
        <v>0</v>
      </c>
      <c r="J269" t="n">
        <v>0</v>
      </c>
      <c r="K269" t="n">
        <v>0</v>
      </c>
      <c r="L269" t="n">
        <v>0</v>
      </c>
      <c r="M269" t="n">
        <v>0</v>
      </c>
      <c r="N269" t="n">
        <v>0</v>
      </c>
      <c r="O269" t="n">
        <v>0</v>
      </c>
      <c r="P269" t="n">
        <v>0</v>
      </c>
      <c r="Q269" t="n">
        <v>0</v>
      </c>
      <c r="R269" s="2" t="inlineStr"/>
    </row>
    <row r="270" ht="15" customHeight="1">
      <c r="A270" t="inlineStr">
        <is>
          <t>A 32081-2024</t>
        </is>
      </c>
      <c r="B270" s="1" t="n">
        <v>45511.34605324074</v>
      </c>
      <c r="C270" s="1" t="n">
        <v>45964</v>
      </c>
      <c r="D270" t="inlineStr">
        <is>
          <t>UPPSALA LÄN</t>
        </is>
      </c>
      <c r="E270" t="inlineStr">
        <is>
          <t>ENKÖPING</t>
        </is>
      </c>
      <c r="G270" t="n">
        <v>5.4</v>
      </c>
      <c r="H270" t="n">
        <v>0</v>
      </c>
      <c r="I270" t="n">
        <v>0</v>
      </c>
      <c r="J270" t="n">
        <v>0</v>
      </c>
      <c r="K270" t="n">
        <v>0</v>
      </c>
      <c r="L270" t="n">
        <v>0</v>
      </c>
      <c r="M270" t="n">
        <v>0</v>
      </c>
      <c r="N270" t="n">
        <v>0</v>
      </c>
      <c r="O270" t="n">
        <v>0</v>
      </c>
      <c r="P270" t="n">
        <v>0</v>
      </c>
      <c r="Q270" t="n">
        <v>0</v>
      </c>
      <c r="R270" s="2" t="inlineStr"/>
    </row>
    <row r="271" ht="15" customHeight="1">
      <c r="A271" t="inlineStr">
        <is>
          <t>A 5712-2025</t>
        </is>
      </c>
      <c r="B271" s="1" t="n">
        <v>45694</v>
      </c>
      <c r="C271" s="1" t="n">
        <v>45964</v>
      </c>
      <c r="D271" t="inlineStr">
        <is>
          <t>UPPSALA LÄN</t>
        </is>
      </c>
      <c r="E271" t="inlineStr">
        <is>
          <t>ENKÖPING</t>
        </is>
      </c>
      <c r="G271" t="n">
        <v>5.1</v>
      </c>
      <c r="H271" t="n">
        <v>0</v>
      </c>
      <c r="I271" t="n">
        <v>0</v>
      </c>
      <c r="J271" t="n">
        <v>0</v>
      </c>
      <c r="K271" t="n">
        <v>0</v>
      </c>
      <c r="L271" t="n">
        <v>0</v>
      </c>
      <c r="M271" t="n">
        <v>0</v>
      </c>
      <c r="N271" t="n">
        <v>0</v>
      </c>
      <c r="O271" t="n">
        <v>0</v>
      </c>
      <c r="P271" t="n">
        <v>0</v>
      </c>
      <c r="Q271" t="n">
        <v>0</v>
      </c>
      <c r="R271" s="2" t="inlineStr"/>
    </row>
    <row r="272" ht="15" customHeight="1">
      <c r="A272" t="inlineStr">
        <is>
          <t>A 5749-2025</t>
        </is>
      </c>
      <c r="B272" s="1" t="n">
        <v>45694</v>
      </c>
      <c r="C272" s="1" t="n">
        <v>45964</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314-2025</t>
        </is>
      </c>
      <c r="B273" s="1" t="n">
        <v>45656</v>
      </c>
      <c r="C273" s="1" t="n">
        <v>45964</v>
      </c>
      <c r="D273" t="inlineStr">
        <is>
          <t>UPPSALA LÄN</t>
        </is>
      </c>
      <c r="E273" t="inlineStr">
        <is>
          <t>ENKÖPING</t>
        </is>
      </c>
      <c r="G273" t="n">
        <v>9</v>
      </c>
      <c r="H273" t="n">
        <v>0</v>
      </c>
      <c r="I273" t="n">
        <v>0</v>
      </c>
      <c r="J273" t="n">
        <v>0</v>
      </c>
      <c r="K273" t="n">
        <v>0</v>
      </c>
      <c r="L273" t="n">
        <v>0</v>
      </c>
      <c r="M273" t="n">
        <v>0</v>
      </c>
      <c r="N273" t="n">
        <v>0</v>
      </c>
      <c r="O273" t="n">
        <v>0</v>
      </c>
      <c r="P273" t="n">
        <v>0</v>
      </c>
      <c r="Q273" t="n">
        <v>0</v>
      </c>
      <c r="R273" s="2" t="inlineStr"/>
    </row>
    <row r="274" ht="15" customHeight="1">
      <c r="A274" t="inlineStr">
        <is>
          <t>A 11627-2025</t>
        </is>
      </c>
      <c r="B274" s="1" t="n">
        <v>45727</v>
      </c>
      <c r="C274" s="1" t="n">
        <v>45964</v>
      </c>
      <c r="D274" t="inlineStr">
        <is>
          <t>UPPSALA LÄN</t>
        </is>
      </c>
      <c r="E274" t="inlineStr">
        <is>
          <t>ENKÖPING</t>
        </is>
      </c>
      <c r="G274" t="n">
        <v>5.5</v>
      </c>
      <c r="H274" t="n">
        <v>0</v>
      </c>
      <c r="I274" t="n">
        <v>0</v>
      </c>
      <c r="J274" t="n">
        <v>0</v>
      </c>
      <c r="K274" t="n">
        <v>0</v>
      </c>
      <c r="L274" t="n">
        <v>0</v>
      </c>
      <c r="M274" t="n">
        <v>0</v>
      </c>
      <c r="N274" t="n">
        <v>0</v>
      </c>
      <c r="O274" t="n">
        <v>0</v>
      </c>
      <c r="P274" t="n">
        <v>0</v>
      </c>
      <c r="Q274" t="n">
        <v>0</v>
      </c>
      <c r="R274" s="2" t="inlineStr"/>
    </row>
    <row r="275" ht="15" customHeight="1">
      <c r="A275" t="inlineStr">
        <is>
          <t>A 12434-2021</t>
        </is>
      </c>
      <c r="B275" s="1" t="n">
        <v>44267</v>
      </c>
      <c r="C275" s="1" t="n">
        <v>45964</v>
      </c>
      <c r="D275" t="inlineStr">
        <is>
          <t>UPPSALA LÄN</t>
        </is>
      </c>
      <c r="E275" t="inlineStr">
        <is>
          <t>ENKÖPING</t>
        </is>
      </c>
      <c r="G275" t="n">
        <v>5.3</v>
      </c>
      <c r="H275" t="n">
        <v>0</v>
      </c>
      <c r="I275" t="n">
        <v>0</v>
      </c>
      <c r="J275" t="n">
        <v>0</v>
      </c>
      <c r="K275" t="n">
        <v>0</v>
      </c>
      <c r="L275" t="n">
        <v>0</v>
      </c>
      <c r="M275" t="n">
        <v>0</v>
      </c>
      <c r="N275" t="n">
        <v>0</v>
      </c>
      <c r="O275" t="n">
        <v>0</v>
      </c>
      <c r="P275" t="n">
        <v>0</v>
      </c>
      <c r="Q275" t="n">
        <v>0</v>
      </c>
      <c r="R275" s="2" t="inlineStr"/>
    </row>
    <row r="276" ht="15" customHeight="1">
      <c r="A276" t="inlineStr">
        <is>
          <t>A 49614-2024</t>
        </is>
      </c>
      <c r="B276" s="1" t="n">
        <v>45596.57716435185</v>
      </c>
      <c r="C276" s="1" t="n">
        <v>45964</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49632-2024</t>
        </is>
      </c>
      <c r="B277" s="1" t="n">
        <v>45596</v>
      </c>
      <c r="C277" s="1" t="n">
        <v>45964</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2968-2025</t>
        </is>
      </c>
      <c r="B278" s="1" t="n">
        <v>45678</v>
      </c>
      <c r="C278" s="1" t="n">
        <v>45964</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49525-2021</t>
        </is>
      </c>
      <c r="B279" s="1" t="n">
        <v>44455</v>
      </c>
      <c r="C279" s="1" t="n">
        <v>45964</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6959-2025</t>
        </is>
      </c>
      <c r="B280" s="1" t="n">
        <v>45701.49315972222</v>
      </c>
      <c r="C280" s="1" t="n">
        <v>45964</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24411-2024</t>
        </is>
      </c>
      <c r="B281" s="1" t="n">
        <v>45457</v>
      </c>
      <c r="C281" s="1" t="n">
        <v>45964</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29479-2022</t>
        </is>
      </c>
      <c r="B282" s="1" t="n">
        <v>44753.57265046296</v>
      </c>
      <c r="C282" s="1" t="n">
        <v>45964</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30437-2022</t>
        </is>
      </c>
      <c r="B283" s="1" t="n">
        <v>44761</v>
      </c>
      <c r="C283" s="1" t="n">
        <v>45964</v>
      </c>
      <c r="D283" t="inlineStr">
        <is>
          <t>UPPSALA LÄN</t>
        </is>
      </c>
      <c r="E283" t="inlineStr">
        <is>
          <t>ENKÖPING</t>
        </is>
      </c>
      <c r="G283" t="n">
        <v>3.4</v>
      </c>
      <c r="H283" t="n">
        <v>0</v>
      </c>
      <c r="I283" t="n">
        <v>0</v>
      </c>
      <c r="J283" t="n">
        <v>0</v>
      </c>
      <c r="K283" t="n">
        <v>0</v>
      </c>
      <c r="L283" t="n">
        <v>0</v>
      </c>
      <c r="M283" t="n">
        <v>0</v>
      </c>
      <c r="N283" t="n">
        <v>0</v>
      </c>
      <c r="O283" t="n">
        <v>0</v>
      </c>
      <c r="P283" t="n">
        <v>0</v>
      </c>
      <c r="Q283" t="n">
        <v>0</v>
      </c>
      <c r="R283" s="2" t="inlineStr"/>
    </row>
    <row r="284" ht="15" customHeight="1">
      <c r="A284" t="inlineStr">
        <is>
          <t>A 51011-2024</t>
        </is>
      </c>
      <c r="B284" s="1" t="n">
        <v>45603.39427083333</v>
      </c>
      <c r="C284" s="1" t="n">
        <v>45964</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26319-2022</t>
        </is>
      </c>
      <c r="B285" s="1" t="n">
        <v>44735</v>
      </c>
      <c r="C285" s="1" t="n">
        <v>45964</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27538-2023</t>
        </is>
      </c>
      <c r="B286" s="1" t="n">
        <v>45097</v>
      </c>
      <c r="C286" s="1" t="n">
        <v>45964</v>
      </c>
      <c r="D286" t="inlineStr">
        <is>
          <t>UPPSALA LÄN</t>
        </is>
      </c>
      <c r="E286" t="inlineStr">
        <is>
          <t>ENKÖPING</t>
        </is>
      </c>
      <c r="G286" t="n">
        <v>5.8</v>
      </c>
      <c r="H286" t="n">
        <v>0</v>
      </c>
      <c r="I286" t="n">
        <v>0</v>
      </c>
      <c r="J286" t="n">
        <v>0</v>
      </c>
      <c r="K286" t="n">
        <v>0</v>
      </c>
      <c r="L286" t="n">
        <v>0</v>
      </c>
      <c r="M286" t="n">
        <v>0</v>
      </c>
      <c r="N286" t="n">
        <v>0</v>
      </c>
      <c r="O286" t="n">
        <v>0</v>
      </c>
      <c r="P286" t="n">
        <v>0</v>
      </c>
      <c r="Q286" t="n">
        <v>0</v>
      </c>
      <c r="R286" s="2" t="inlineStr"/>
    </row>
    <row r="287" ht="15" customHeight="1">
      <c r="A287" t="inlineStr">
        <is>
          <t>A 15409-2025</t>
        </is>
      </c>
      <c r="B287" s="1" t="n">
        <v>45747</v>
      </c>
      <c r="C287" s="1" t="n">
        <v>45964</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60874-2023</t>
        </is>
      </c>
      <c r="B288" s="1" t="n">
        <v>45261.06280092592</v>
      </c>
      <c r="C288" s="1" t="n">
        <v>45964</v>
      </c>
      <c r="D288" t="inlineStr">
        <is>
          <t>UPPSALA LÄN</t>
        </is>
      </c>
      <c r="E288" t="inlineStr">
        <is>
          <t>ENKÖPING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58092-2024</t>
        </is>
      </c>
      <c r="B289" s="1" t="n">
        <v>45632</v>
      </c>
      <c r="C289" s="1" t="n">
        <v>45964</v>
      </c>
      <c r="D289" t="inlineStr">
        <is>
          <t>UPPSALA LÄN</t>
        </is>
      </c>
      <c r="E289" t="inlineStr">
        <is>
          <t>ENKÖPING</t>
        </is>
      </c>
      <c r="G289" t="n">
        <v>4.8</v>
      </c>
      <c r="H289" t="n">
        <v>0</v>
      </c>
      <c r="I289" t="n">
        <v>0</v>
      </c>
      <c r="J289" t="n">
        <v>0</v>
      </c>
      <c r="K289" t="n">
        <v>0</v>
      </c>
      <c r="L289" t="n">
        <v>0</v>
      </c>
      <c r="M289" t="n">
        <v>0</v>
      </c>
      <c r="N289" t="n">
        <v>0</v>
      </c>
      <c r="O289" t="n">
        <v>0</v>
      </c>
      <c r="P289" t="n">
        <v>0</v>
      </c>
      <c r="Q289" t="n">
        <v>0</v>
      </c>
      <c r="R289" s="2" t="inlineStr"/>
    </row>
    <row r="290" ht="15" customHeight="1">
      <c r="A290" t="inlineStr">
        <is>
          <t>A 29918-2023</t>
        </is>
      </c>
      <c r="B290" s="1" t="n">
        <v>45099</v>
      </c>
      <c r="C290" s="1" t="n">
        <v>45964</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50394-2024</t>
        </is>
      </c>
      <c r="B291" s="1" t="n">
        <v>45600</v>
      </c>
      <c r="C291" s="1" t="n">
        <v>45964</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51010-2024</t>
        </is>
      </c>
      <c r="B292" s="1" t="n">
        <v>45603.39285879629</v>
      </c>
      <c r="C292" s="1" t="n">
        <v>45964</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24291-2024</t>
        </is>
      </c>
      <c r="B293" s="1" t="n">
        <v>45457.4584837963</v>
      </c>
      <c r="C293" s="1" t="n">
        <v>45964</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26017-2025</t>
        </is>
      </c>
      <c r="B294" s="1" t="n">
        <v>45804</v>
      </c>
      <c r="C294" s="1" t="n">
        <v>45964</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26024-2025</t>
        </is>
      </c>
      <c r="B295" s="1" t="n">
        <v>45804.6831712963</v>
      </c>
      <c r="C295" s="1" t="n">
        <v>45964</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26042-2025</t>
        </is>
      </c>
      <c r="B296" s="1" t="n">
        <v>45804.70018518518</v>
      </c>
      <c r="C296" s="1" t="n">
        <v>45964</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26005-2025</t>
        </is>
      </c>
      <c r="B297" s="1" t="n">
        <v>45804.67055555555</v>
      </c>
      <c r="C297" s="1" t="n">
        <v>45964</v>
      </c>
      <c r="D297" t="inlineStr">
        <is>
          <t>UPPSALA LÄN</t>
        </is>
      </c>
      <c r="E297" t="inlineStr">
        <is>
          <t>ENKÖPING</t>
        </is>
      </c>
      <c r="G297" t="n">
        <v>0.3</v>
      </c>
      <c r="H297" t="n">
        <v>0</v>
      </c>
      <c r="I297" t="n">
        <v>0</v>
      </c>
      <c r="J297" t="n">
        <v>0</v>
      </c>
      <c r="K297" t="n">
        <v>0</v>
      </c>
      <c r="L297" t="n">
        <v>0</v>
      </c>
      <c r="M297" t="n">
        <v>0</v>
      </c>
      <c r="N297" t="n">
        <v>0</v>
      </c>
      <c r="O297" t="n">
        <v>0</v>
      </c>
      <c r="P297" t="n">
        <v>0</v>
      </c>
      <c r="Q297" t="n">
        <v>0</v>
      </c>
      <c r="R297" s="2" t="inlineStr"/>
    </row>
    <row r="298" ht="15" customHeight="1">
      <c r="A298" t="inlineStr">
        <is>
          <t>A 26026-2025</t>
        </is>
      </c>
      <c r="B298" s="1" t="n">
        <v>45804.68510416667</v>
      </c>
      <c r="C298" s="1" t="n">
        <v>45964</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26030-2025</t>
        </is>
      </c>
      <c r="B299" s="1" t="n">
        <v>45804.68815972222</v>
      </c>
      <c r="C299" s="1" t="n">
        <v>45964</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43016-2021</t>
        </is>
      </c>
      <c r="B300" s="1" t="n">
        <v>44431</v>
      </c>
      <c r="C300" s="1" t="n">
        <v>45964</v>
      </c>
      <c r="D300" t="inlineStr">
        <is>
          <t>UPPSALA LÄN</t>
        </is>
      </c>
      <c r="E300" t="inlineStr">
        <is>
          <t>ENKÖPING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26022-2025</t>
        </is>
      </c>
      <c r="B301" s="1" t="n">
        <v>45804.68006944445</v>
      </c>
      <c r="C301" s="1" t="n">
        <v>45964</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25988-2025</t>
        </is>
      </c>
      <c r="B302" s="1" t="n">
        <v>45804.64814814815</v>
      </c>
      <c r="C302" s="1" t="n">
        <v>45964</v>
      </c>
      <c r="D302" t="inlineStr">
        <is>
          <t>UPPSALA LÄN</t>
        </is>
      </c>
      <c r="E302" t="inlineStr">
        <is>
          <t>ENKÖPING</t>
        </is>
      </c>
      <c r="G302" t="n">
        <v>4.7</v>
      </c>
      <c r="H302" t="n">
        <v>0</v>
      </c>
      <c r="I302" t="n">
        <v>0</v>
      </c>
      <c r="J302" t="n">
        <v>0</v>
      </c>
      <c r="K302" t="n">
        <v>0</v>
      </c>
      <c r="L302" t="n">
        <v>0</v>
      </c>
      <c r="M302" t="n">
        <v>0</v>
      </c>
      <c r="N302" t="n">
        <v>0</v>
      </c>
      <c r="O302" t="n">
        <v>0</v>
      </c>
      <c r="P302" t="n">
        <v>0</v>
      </c>
      <c r="Q302" t="n">
        <v>0</v>
      </c>
      <c r="R302" s="2" t="inlineStr"/>
    </row>
    <row r="303" ht="15" customHeight="1">
      <c r="A303" t="inlineStr">
        <is>
          <t>A 26031-2025</t>
        </is>
      </c>
      <c r="B303" s="1" t="n">
        <v>45804.69050925926</v>
      </c>
      <c r="C303" s="1" t="n">
        <v>45964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26011-2025</t>
        </is>
      </c>
      <c r="B304" s="1" t="n">
        <v>45804.67412037037</v>
      </c>
      <c r="C304" s="1" t="n">
        <v>45964</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26041-2025</t>
        </is>
      </c>
      <c r="B305" s="1" t="n">
        <v>45804.69883101852</v>
      </c>
      <c r="C305" s="1" t="n">
        <v>45964</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25990-2025</t>
        </is>
      </c>
      <c r="B306" s="1" t="n">
        <v>45804.65229166667</v>
      </c>
      <c r="C306" s="1" t="n">
        <v>45964</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25847-2025</t>
        </is>
      </c>
      <c r="B307" s="1" t="n">
        <v>45804</v>
      </c>
      <c r="C307" s="1" t="n">
        <v>45964</v>
      </c>
      <c r="D307" t="inlineStr">
        <is>
          <t>UPPSALA LÄN</t>
        </is>
      </c>
      <c r="E307" t="inlineStr">
        <is>
          <t>ENKÖPING</t>
        </is>
      </c>
      <c r="G307" t="n">
        <v>3.6</v>
      </c>
      <c r="H307" t="n">
        <v>0</v>
      </c>
      <c r="I307" t="n">
        <v>0</v>
      </c>
      <c r="J307" t="n">
        <v>0</v>
      </c>
      <c r="K307" t="n">
        <v>0</v>
      </c>
      <c r="L307" t="n">
        <v>0</v>
      </c>
      <c r="M307" t="n">
        <v>0</v>
      </c>
      <c r="N307" t="n">
        <v>0</v>
      </c>
      <c r="O307" t="n">
        <v>0</v>
      </c>
      <c r="P307" t="n">
        <v>0</v>
      </c>
      <c r="Q307" t="n">
        <v>0</v>
      </c>
      <c r="R307" s="2" t="inlineStr"/>
    </row>
    <row r="308" ht="15" customHeight="1">
      <c r="A308" t="inlineStr">
        <is>
          <t>A 19147-2024</t>
        </is>
      </c>
      <c r="B308" s="1" t="n">
        <v>45428</v>
      </c>
      <c r="C308" s="1" t="n">
        <v>45964</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26047-2025</t>
        </is>
      </c>
      <c r="B309" s="1" t="n">
        <v>45804.70835648148</v>
      </c>
      <c r="C309" s="1" t="n">
        <v>45964</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57209-2024</t>
        </is>
      </c>
      <c r="B310" s="1" t="n">
        <v>45629.49311342592</v>
      </c>
      <c r="C310" s="1" t="n">
        <v>45964</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51120-2023</t>
        </is>
      </c>
      <c r="B311" s="1" t="n">
        <v>45219.3088425926</v>
      </c>
      <c r="C311" s="1" t="n">
        <v>45964</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12878-2025</t>
        </is>
      </c>
      <c r="B312" s="1" t="n">
        <v>45733.68571759259</v>
      </c>
      <c r="C312" s="1" t="n">
        <v>45964</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35067-2024</t>
        </is>
      </c>
      <c r="B313" s="1" t="n">
        <v>45527.66153935185</v>
      </c>
      <c r="C313" s="1" t="n">
        <v>45964</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43896-2022</t>
        </is>
      </c>
      <c r="B314" s="1" t="n">
        <v>44838</v>
      </c>
      <c r="C314" s="1" t="n">
        <v>45964</v>
      </c>
      <c r="D314" t="inlineStr">
        <is>
          <t>UPPSALA LÄN</t>
        </is>
      </c>
      <c r="E314" t="inlineStr">
        <is>
          <t>ENKÖPING</t>
        </is>
      </c>
      <c r="G314" t="n">
        <v>5.3</v>
      </c>
      <c r="H314" t="n">
        <v>0</v>
      </c>
      <c r="I314" t="n">
        <v>0</v>
      </c>
      <c r="J314" t="n">
        <v>0</v>
      </c>
      <c r="K314" t="n">
        <v>0</v>
      </c>
      <c r="L314" t="n">
        <v>0</v>
      </c>
      <c r="M314" t="n">
        <v>0</v>
      </c>
      <c r="N314" t="n">
        <v>0</v>
      </c>
      <c r="O314" t="n">
        <v>0</v>
      </c>
      <c r="P314" t="n">
        <v>0</v>
      </c>
      <c r="Q314" t="n">
        <v>0</v>
      </c>
      <c r="R314" s="2" t="inlineStr"/>
    </row>
    <row r="315" ht="15" customHeight="1">
      <c r="A315" t="inlineStr">
        <is>
          <t>A 4203-2021</t>
        </is>
      </c>
      <c r="B315" s="1" t="n">
        <v>44223</v>
      </c>
      <c r="C315" s="1" t="n">
        <v>45964</v>
      </c>
      <c r="D315" t="inlineStr">
        <is>
          <t>UPPSALA LÄN</t>
        </is>
      </c>
      <c r="E315" t="inlineStr">
        <is>
          <t>ENKÖPING</t>
        </is>
      </c>
      <c r="G315" t="n">
        <v>11.6</v>
      </c>
      <c r="H315" t="n">
        <v>0</v>
      </c>
      <c r="I315" t="n">
        <v>0</v>
      </c>
      <c r="J315" t="n">
        <v>0</v>
      </c>
      <c r="K315" t="n">
        <v>0</v>
      </c>
      <c r="L315" t="n">
        <v>0</v>
      </c>
      <c r="M315" t="n">
        <v>0</v>
      </c>
      <c r="N315" t="n">
        <v>0</v>
      </c>
      <c r="O315" t="n">
        <v>0</v>
      </c>
      <c r="P315" t="n">
        <v>0</v>
      </c>
      <c r="Q315" t="n">
        <v>0</v>
      </c>
      <c r="R315" s="2" t="inlineStr"/>
    </row>
    <row r="316" ht="15" customHeight="1">
      <c r="A316" t="inlineStr">
        <is>
          <t>A 2833-2025</t>
        </is>
      </c>
      <c r="B316" s="1" t="n">
        <v>45677.63206018518</v>
      </c>
      <c r="C316" s="1" t="n">
        <v>45964</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7090-2022</t>
        </is>
      </c>
      <c r="B317" s="1" t="n">
        <v>44603.59520833333</v>
      </c>
      <c r="C317" s="1" t="n">
        <v>45964</v>
      </c>
      <c r="D317" t="inlineStr">
        <is>
          <t>UPPSALA LÄN</t>
        </is>
      </c>
      <c r="E317" t="inlineStr">
        <is>
          <t>ENKÖPING</t>
        </is>
      </c>
      <c r="G317" t="n">
        <v>2.8</v>
      </c>
      <c r="H317" t="n">
        <v>0</v>
      </c>
      <c r="I317" t="n">
        <v>0</v>
      </c>
      <c r="J317" t="n">
        <v>0</v>
      </c>
      <c r="K317" t="n">
        <v>0</v>
      </c>
      <c r="L317" t="n">
        <v>0</v>
      </c>
      <c r="M317" t="n">
        <v>0</v>
      </c>
      <c r="N317" t="n">
        <v>0</v>
      </c>
      <c r="O317" t="n">
        <v>0</v>
      </c>
      <c r="P317" t="n">
        <v>0</v>
      </c>
      <c r="Q317" t="n">
        <v>0</v>
      </c>
      <c r="R317" s="2" t="inlineStr"/>
    </row>
    <row r="318" ht="15" customHeight="1">
      <c r="A318" t="inlineStr">
        <is>
          <t>A 9487-2025</t>
        </is>
      </c>
      <c r="B318" s="1" t="n">
        <v>45715.49331018519</v>
      </c>
      <c r="C318" s="1" t="n">
        <v>45964</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6144-2024</t>
        </is>
      </c>
      <c r="B319" s="1" t="n">
        <v>45337.4684837963</v>
      </c>
      <c r="C319" s="1" t="n">
        <v>45964</v>
      </c>
      <c r="D319" t="inlineStr">
        <is>
          <t>UPPSALA LÄN</t>
        </is>
      </c>
      <c r="E319" t="inlineStr">
        <is>
          <t>ENKÖPING</t>
        </is>
      </c>
      <c r="G319" t="n">
        <v>13.8</v>
      </c>
      <c r="H319" t="n">
        <v>0</v>
      </c>
      <c r="I319" t="n">
        <v>0</v>
      </c>
      <c r="J319" t="n">
        <v>0</v>
      </c>
      <c r="K319" t="n">
        <v>0</v>
      </c>
      <c r="L319" t="n">
        <v>0</v>
      </c>
      <c r="M319" t="n">
        <v>0</v>
      </c>
      <c r="N319" t="n">
        <v>0</v>
      </c>
      <c r="O319" t="n">
        <v>0</v>
      </c>
      <c r="P319" t="n">
        <v>0</v>
      </c>
      <c r="Q319" t="n">
        <v>0</v>
      </c>
      <c r="R319" s="2" t="inlineStr"/>
    </row>
    <row r="320" ht="15" customHeight="1">
      <c r="A320" t="inlineStr">
        <is>
          <t>A 33955-2024</t>
        </is>
      </c>
      <c r="B320" s="1" t="n">
        <v>45523.46952546296</v>
      </c>
      <c r="C320" s="1" t="n">
        <v>45964</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50006-2023</t>
        </is>
      </c>
      <c r="B321" s="1" t="n">
        <v>45215</v>
      </c>
      <c r="C321" s="1" t="n">
        <v>45964</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56526-2022</t>
        </is>
      </c>
      <c r="B322" s="1" t="n">
        <v>44893</v>
      </c>
      <c r="C322" s="1" t="n">
        <v>45964</v>
      </c>
      <c r="D322" t="inlineStr">
        <is>
          <t>UPPSALA LÄN</t>
        </is>
      </c>
      <c r="E322" t="inlineStr">
        <is>
          <t>ENKÖPING</t>
        </is>
      </c>
      <c r="G322" t="n">
        <v>3.8</v>
      </c>
      <c r="H322" t="n">
        <v>0</v>
      </c>
      <c r="I322" t="n">
        <v>0</v>
      </c>
      <c r="J322" t="n">
        <v>0</v>
      </c>
      <c r="K322" t="n">
        <v>0</v>
      </c>
      <c r="L322" t="n">
        <v>0</v>
      </c>
      <c r="M322" t="n">
        <v>0</v>
      </c>
      <c r="N322" t="n">
        <v>0</v>
      </c>
      <c r="O322" t="n">
        <v>0</v>
      </c>
      <c r="P322" t="n">
        <v>0</v>
      </c>
      <c r="Q322" t="n">
        <v>0</v>
      </c>
      <c r="R322" s="2" t="inlineStr"/>
    </row>
    <row r="323" ht="15" customHeight="1">
      <c r="A323" t="inlineStr">
        <is>
          <t>A 39858-2024</t>
        </is>
      </c>
      <c r="B323" s="1" t="n">
        <v>45553</v>
      </c>
      <c r="C323" s="1" t="n">
        <v>45964</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27829-2025</t>
        </is>
      </c>
      <c r="B324" s="1" t="n">
        <v>45817</v>
      </c>
      <c r="C324" s="1" t="n">
        <v>45964</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60289-2022</t>
        </is>
      </c>
      <c r="B325" s="1" t="n">
        <v>44910.53026620371</v>
      </c>
      <c r="C325" s="1" t="n">
        <v>45964</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13110-2023</t>
        </is>
      </c>
      <c r="B326" s="1" t="n">
        <v>45001</v>
      </c>
      <c r="C326" s="1" t="n">
        <v>45964</v>
      </c>
      <c r="D326" t="inlineStr">
        <is>
          <t>UPPSALA LÄN</t>
        </is>
      </c>
      <c r="E326" t="inlineStr">
        <is>
          <t>ENKÖPING</t>
        </is>
      </c>
      <c r="G326" t="n">
        <v>2.5</v>
      </c>
      <c r="H326" t="n">
        <v>0</v>
      </c>
      <c r="I326" t="n">
        <v>0</v>
      </c>
      <c r="J326" t="n">
        <v>0</v>
      </c>
      <c r="K326" t="n">
        <v>0</v>
      </c>
      <c r="L326" t="n">
        <v>0</v>
      </c>
      <c r="M326" t="n">
        <v>0</v>
      </c>
      <c r="N326" t="n">
        <v>0</v>
      </c>
      <c r="O326" t="n">
        <v>0</v>
      </c>
      <c r="P326" t="n">
        <v>0</v>
      </c>
      <c r="Q326" t="n">
        <v>0</v>
      </c>
      <c r="R326" s="2" t="inlineStr"/>
    </row>
    <row r="327" ht="15" customHeight="1">
      <c r="A327" t="inlineStr">
        <is>
          <t>A 58384-2022</t>
        </is>
      </c>
      <c r="B327" s="1" t="n">
        <v>44901</v>
      </c>
      <c r="C327" s="1" t="n">
        <v>45964</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59602-2022</t>
        </is>
      </c>
      <c r="B328" s="1" t="n">
        <v>44907.72241898148</v>
      </c>
      <c r="C328" s="1" t="n">
        <v>45964</v>
      </c>
      <c r="D328" t="inlineStr">
        <is>
          <t>UPPSALA LÄN</t>
        </is>
      </c>
      <c r="E328" t="inlineStr">
        <is>
          <t>ENKÖPING</t>
        </is>
      </c>
      <c r="G328" t="n">
        <v>14.2</v>
      </c>
      <c r="H328" t="n">
        <v>0</v>
      </c>
      <c r="I328" t="n">
        <v>0</v>
      </c>
      <c r="J328" t="n">
        <v>0</v>
      </c>
      <c r="K328" t="n">
        <v>0</v>
      </c>
      <c r="L328" t="n">
        <v>0</v>
      </c>
      <c r="M328" t="n">
        <v>0</v>
      </c>
      <c r="N328" t="n">
        <v>0</v>
      </c>
      <c r="O328" t="n">
        <v>0</v>
      </c>
      <c r="P328" t="n">
        <v>0</v>
      </c>
      <c r="Q328" t="n">
        <v>0</v>
      </c>
      <c r="R328" s="2" t="inlineStr"/>
    </row>
    <row r="329" ht="15" customHeight="1">
      <c r="A329" t="inlineStr">
        <is>
          <t>A 66517-2020</t>
        </is>
      </c>
      <c r="B329" s="1" t="n">
        <v>44178</v>
      </c>
      <c r="C329" s="1" t="n">
        <v>45964</v>
      </c>
      <c r="D329" t="inlineStr">
        <is>
          <t>UPPSALA LÄN</t>
        </is>
      </c>
      <c r="E329" t="inlineStr">
        <is>
          <t>ENKÖPING</t>
        </is>
      </c>
      <c r="G329" t="n">
        <v>4</v>
      </c>
      <c r="H329" t="n">
        <v>0</v>
      </c>
      <c r="I329" t="n">
        <v>0</v>
      </c>
      <c r="J329" t="n">
        <v>0</v>
      </c>
      <c r="K329" t="n">
        <v>0</v>
      </c>
      <c r="L329" t="n">
        <v>0</v>
      </c>
      <c r="M329" t="n">
        <v>0</v>
      </c>
      <c r="N329" t="n">
        <v>0</v>
      </c>
      <c r="O329" t="n">
        <v>0</v>
      </c>
      <c r="P329" t="n">
        <v>0</v>
      </c>
      <c r="Q329" t="n">
        <v>0</v>
      </c>
      <c r="R329" s="2" t="inlineStr"/>
    </row>
    <row r="330" ht="15" customHeight="1">
      <c r="A330" t="inlineStr">
        <is>
          <t>A 31965-2021</t>
        </is>
      </c>
      <c r="B330" s="1" t="n">
        <v>44370.56901620371</v>
      </c>
      <c r="C330" s="1" t="n">
        <v>45964</v>
      </c>
      <c r="D330" t="inlineStr">
        <is>
          <t>UPPSALA LÄN</t>
        </is>
      </c>
      <c r="E330" t="inlineStr">
        <is>
          <t>ENKÖPING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39009-2024</t>
        </is>
      </c>
      <c r="B331" s="1" t="n">
        <v>45548</v>
      </c>
      <c r="C331" s="1" t="n">
        <v>45964</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8537-2025</t>
        </is>
      </c>
      <c r="B332" s="1" t="n">
        <v>45709</v>
      </c>
      <c r="C332" s="1" t="n">
        <v>45964</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67984-2021</t>
        </is>
      </c>
      <c r="B333" s="1" t="n">
        <v>44525.70237268518</v>
      </c>
      <c r="C333" s="1" t="n">
        <v>45964</v>
      </c>
      <c r="D333" t="inlineStr">
        <is>
          <t>UPPSALA LÄN</t>
        </is>
      </c>
      <c r="E333" t="inlineStr">
        <is>
          <t>ENKÖPING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33619-2022</t>
        </is>
      </c>
      <c r="B334" s="1" t="n">
        <v>44789</v>
      </c>
      <c r="C334" s="1" t="n">
        <v>45964</v>
      </c>
      <c r="D334" t="inlineStr">
        <is>
          <t>UPPSALA LÄN</t>
        </is>
      </c>
      <c r="E334" t="inlineStr">
        <is>
          <t>ENKÖPING</t>
        </is>
      </c>
      <c r="F334" t="inlineStr">
        <is>
          <t>Allmännings- och besparingsskogar</t>
        </is>
      </c>
      <c r="G334" t="n">
        <v>4.5</v>
      </c>
      <c r="H334" t="n">
        <v>0</v>
      </c>
      <c r="I334" t="n">
        <v>0</v>
      </c>
      <c r="J334" t="n">
        <v>0</v>
      </c>
      <c r="K334" t="n">
        <v>0</v>
      </c>
      <c r="L334" t="n">
        <v>0</v>
      </c>
      <c r="M334" t="n">
        <v>0</v>
      </c>
      <c r="N334" t="n">
        <v>0</v>
      </c>
      <c r="O334" t="n">
        <v>0</v>
      </c>
      <c r="P334" t="n">
        <v>0</v>
      </c>
      <c r="Q334" t="n">
        <v>0</v>
      </c>
      <c r="R334" s="2" t="inlineStr"/>
    </row>
    <row r="335" ht="15" customHeight="1">
      <c r="A335" t="inlineStr">
        <is>
          <t>A 16920-2023</t>
        </is>
      </c>
      <c r="B335" s="1" t="n">
        <v>45033.59030092593</v>
      </c>
      <c r="C335" s="1" t="n">
        <v>45964</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28758-2025</t>
        </is>
      </c>
      <c r="B336" s="1" t="n">
        <v>45820.41212962963</v>
      </c>
      <c r="C336" s="1" t="n">
        <v>45964</v>
      </c>
      <c r="D336" t="inlineStr">
        <is>
          <t>UPPSALA LÄN</t>
        </is>
      </c>
      <c r="E336" t="inlineStr">
        <is>
          <t>ENKÖPING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28862-2025</t>
        </is>
      </c>
      <c r="B337" s="1" t="n">
        <v>45820.59189814814</v>
      </c>
      <c r="C337" s="1" t="n">
        <v>45964</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28855-2025</t>
        </is>
      </c>
      <c r="B338" s="1" t="n">
        <v>45820.58274305556</v>
      </c>
      <c r="C338" s="1" t="n">
        <v>45964</v>
      </c>
      <c r="D338" t="inlineStr">
        <is>
          <t>UPPSALA LÄN</t>
        </is>
      </c>
      <c r="E338" t="inlineStr">
        <is>
          <t>ENKÖPING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53586-2024</t>
        </is>
      </c>
      <c r="B339" s="1" t="n">
        <v>45614</v>
      </c>
      <c r="C339" s="1" t="n">
        <v>45964</v>
      </c>
      <c r="D339" t="inlineStr">
        <is>
          <t>UPPSALA LÄN</t>
        </is>
      </c>
      <c r="E339" t="inlineStr">
        <is>
          <t>ENKÖPING</t>
        </is>
      </c>
      <c r="G339" t="n">
        <v>6.6</v>
      </c>
      <c r="H339" t="n">
        <v>0</v>
      </c>
      <c r="I339" t="n">
        <v>0</v>
      </c>
      <c r="J339" t="n">
        <v>0</v>
      </c>
      <c r="K339" t="n">
        <v>0</v>
      </c>
      <c r="L339" t="n">
        <v>0</v>
      </c>
      <c r="M339" t="n">
        <v>0</v>
      </c>
      <c r="N339" t="n">
        <v>0</v>
      </c>
      <c r="O339" t="n">
        <v>0</v>
      </c>
      <c r="P339" t="n">
        <v>0</v>
      </c>
      <c r="Q339" t="n">
        <v>0</v>
      </c>
      <c r="R339" s="2" t="inlineStr"/>
    </row>
    <row r="340" ht="15" customHeight="1">
      <c r="A340" t="inlineStr">
        <is>
          <t>A 10829-2024</t>
        </is>
      </c>
      <c r="B340" s="1" t="n">
        <v>45369</v>
      </c>
      <c r="C340" s="1" t="n">
        <v>45964</v>
      </c>
      <c r="D340" t="inlineStr">
        <is>
          <t>UPPSALA LÄN</t>
        </is>
      </c>
      <c r="E340" t="inlineStr">
        <is>
          <t>ENKÖPING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29093-2025</t>
        </is>
      </c>
      <c r="B341" s="1" t="n">
        <v>45821.55743055556</v>
      </c>
      <c r="C341" s="1" t="n">
        <v>45964</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46590-2025</t>
        </is>
      </c>
      <c r="B342" s="1" t="n">
        <v>45926.39542824074</v>
      </c>
      <c r="C342" s="1" t="n">
        <v>45964</v>
      </c>
      <c r="D342" t="inlineStr">
        <is>
          <t>UPPSALA LÄN</t>
        </is>
      </c>
      <c r="E342" t="inlineStr">
        <is>
          <t>ENKÖPING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29477-2025</t>
        </is>
      </c>
      <c r="B343" s="1" t="n">
        <v>45824.71537037037</v>
      </c>
      <c r="C343" s="1" t="n">
        <v>45964</v>
      </c>
      <c r="D343" t="inlineStr">
        <is>
          <t>UPPSALA LÄN</t>
        </is>
      </c>
      <c r="E343" t="inlineStr">
        <is>
          <t>ENKÖPING</t>
        </is>
      </c>
      <c r="G343" t="n">
        <v>13.4</v>
      </c>
      <c r="H343" t="n">
        <v>0</v>
      </c>
      <c r="I343" t="n">
        <v>0</v>
      </c>
      <c r="J343" t="n">
        <v>0</v>
      </c>
      <c r="K343" t="n">
        <v>0</v>
      </c>
      <c r="L343" t="n">
        <v>0</v>
      </c>
      <c r="M343" t="n">
        <v>0</v>
      </c>
      <c r="N343" t="n">
        <v>0</v>
      </c>
      <c r="O343" t="n">
        <v>0</v>
      </c>
      <c r="P343" t="n">
        <v>0</v>
      </c>
      <c r="Q343" t="n">
        <v>0</v>
      </c>
      <c r="R343" s="2" t="inlineStr"/>
    </row>
    <row r="344" ht="15" customHeight="1">
      <c r="A344" t="inlineStr">
        <is>
          <t>A 67982-2021</t>
        </is>
      </c>
      <c r="B344" s="1" t="n">
        <v>44525</v>
      </c>
      <c r="C344" s="1" t="n">
        <v>45964</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43506-2023</t>
        </is>
      </c>
      <c r="B345" s="1" t="n">
        <v>45181</v>
      </c>
      <c r="C345" s="1" t="n">
        <v>45964</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51034-2024</t>
        </is>
      </c>
      <c r="B346" s="1" t="n">
        <v>45603.4262037037</v>
      </c>
      <c r="C346" s="1" t="n">
        <v>45964</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51036-2024</t>
        </is>
      </c>
      <c r="B347" s="1" t="n">
        <v>45603.42839120371</v>
      </c>
      <c r="C347" s="1" t="n">
        <v>45964</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55876-2024</t>
        </is>
      </c>
      <c r="B348" s="1" t="n">
        <v>45623.5546412037</v>
      </c>
      <c r="C348" s="1" t="n">
        <v>45964</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46186-2023</t>
        </is>
      </c>
      <c r="B349" s="1" t="n">
        <v>45196</v>
      </c>
      <c r="C349" s="1" t="n">
        <v>45964</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44473.58824074074</v>
      </c>
      <c r="C350" s="1" t="n">
        <v>45964</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54588-2024</t>
        </is>
      </c>
      <c r="B351" s="1" t="n">
        <v>45617</v>
      </c>
      <c r="C351" s="1" t="n">
        <v>45964</v>
      </c>
      <c r="D351" t="inlineStr">
        <is>
          <t>UPPSALA LÄN</t>
        </is>
      </c>
      <c r="E351" t="inlineStr">
        <is>
          <t>ENKÖPING</t>
        </is>
      </c>
      <c r="G351" t="n">
        <v>3.7</v>
      </c>
      <c r="H351" t="n">
        <v>0</v>
      </c>
      <c r="I351" t="n">
        <v>0</v>
      </c>
      <c r="J351" t="n">
        <v>0</v>
      </c>
      <c r="K351" t="n">
        <v>0</v>
      </c>
      <c r="L351" t="n">
        <v>0</v>
      </c>
      <c r="M351" t="n">
        <v>0</v>
      </c>
      <c r="N351" t="n">
        <v>0</v>
      </c>
      <c r="O351" t="n">
        <v>0</v>
      </c>
      <c r="P351" t="n">
        <v>0</v>
      </c>
      <c r="Q351" t="n">
        <v>0</v>
      </c>
      <c r="R351" s="2" t="inlineStr"/>
    </row>
    <row r="352" ht="15" customHeight="1">
      <c r="A352" t="inlineStr">
        <is>
          <t>A 47428-2023</t>
        </is>
      </c>
      <c r="B352" s="1" t="n">
        <v>45202.66664351852</v>
      </c>
      <c r="C352" s="1" t="n">
        <v>45964</v>
      </c>
      <c r="D352" t="inlineStr">
        <is>
          <t>UPPSALA LÄN</t>
        </is>
      </c>
      <c r="E352" t="inlineStr">
        <is>
          <t>ENKÖPING</t>
        </is>
      </c>
      <c r="G352" t="n">
        <v>3</v>
      </c>
      <c r="H352" t="n">
        <v>0</v>
      </c>
      <c r="I352" t="n">
        <v>0</v>
      </c>
      <c r="J352" t="n">
        <v>0</v>
      </c>
      <c r="K352" t="n">
        <v>0</v>
      </c>
      <c r="L352" t="n">
        <v>0</v>
      </c>
      <c r="M352" t="n">
        <v>0</v>
      </c>
      <c r="N352" t="n">
        <v>0</v>
      </c>
      <c r="O352" t="n">
        <v>0</v>
      </c>
      <c r="P352" t="n">
        <v>0</v>
      </c>
      <c r="Q352" t="n">
        <v>0</v>
      </c>
      <c r="R352" s="2" t="inlineStr"/>
    </row>
    <row r="353" ht="15" customHeight="1">
      <c r="A353" t="inlineStr">
        <is>
          <t>A 11005-2023</t>
        </is>
      </c>
      <c r="B353" s="1" t="n">
        <v>44991</v>
      </c>
      <c r="C353" s="1" t="n">
        <v>45964</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5892-2023</t>
        </is>
      </c>
      <c r="B354" s="1" t="n">
        <v>44963.64883101852</v>
      </c>
      <c r="C354" s="1" t="n">
        <v>45964</v>
      </c>
      <c r="D354" t="inlineStr">
        <is>
          <t>UPPSALA LÄN</t>
        </is>
      </c>
      <c r="E354" t="inlineStr">
        <is>
          <t>ENKÖPING</t>
        </is>
      </c>
      <c r="G354" t="n">
        <v>5.5</v>
      </c>
      <c r="H354" t="n">
        <v>0</v>
      </c>
      <c r="I354" t="n">
        <v>0</v>
      </c>
      <c r="J354" t="n">
        <v>0</v>
      </c>
      <c r="K354" t="n">
        <v>0</v>
      </c>
      <c r="L354" t="n">
        <v>0</v>
      </c>
      <c r="M354" t="n">
        <v>0</v>
      </c>
      <c r="N354" t="n">
        <v>0</v>
      </c>
      <c r="O354" t="n">
        <v>0</v>
      </c>
      <c r="P354" t="n">
        <v>0</v>
      </c>
      <c r="Q354" t="n">
        <v>0</v>
      </c>
      <c r="R354" s="2" t="inlineStr"/>
    </row>
    <row r="355" ht="15" customHeight="1">
      <c r="A355" t="inlineStr">
        <is>
          <t>A 12572-2021</t>
        </is>
      </c>
      <c r="B355" s="1" t="n">
        <v>44270.36438657407</v>
      </c>
      <c r="C355" s="1" t="n">
        <v>45964</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30837-2025</t>
        </is>
      </c>
      <c r="B356" s="1" t="n">
        <v>45831.7063425926</v>
      </c>
      <c r="C356" s="1" t="n">
        <v>45964</v>
      </c>
      <c r="D356" t="inlineStr">
        <is>
          <t>UPPSALA LÄN</t>
        </is>
      </c>
      <c r="E356" t="inlineStr">
        <is>
          <t>ENKÖPING</t>
        </is>
      </c>
      <c r="G356" t="n">
        <v>3.8</v>
      </c>
      <c r="H356" t="n">
        <v>0</v>
      </c>
      <c r="I356" t="n">
        <v>0</v>
      </c>
      <c r="J356" t="n">
        <v>0</v>
      </c>
      <c r="K356" t="n">
        <v>0</v>
      </c>
      <c r="L356" t="n">
        <v>0</v>
      </c>
      <c r="M356" t="n">
        <v>0</v>
      </c>
      <c r="N356" t="n">
        <v>0</v>
      </c>
      <c r="O356" t="n">
        <v>0</v>
      </c>
      <c r="P356" t="n">
        <v>0</v>
      </c>
      <c r="Q356" t="n">
        <v>0</v>
      </c>
      <c r="R356" s="2" t="inlineStr"/>
    </row>
    <row r="357" ht="15" customHeight="1">
      <c r="A357" t="inlineStr">
        <is>
          <t>A 57142-2021</t>
        </is>
      </c>
      <c r="B357" s="1" t="n">
        <v>44482</v>
      </c>
      <c r="C357" s="1" t="n">
        <v>45964</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57147-2021</t>
        </is>
      </c>
      <c r="B358" s="1" t="n">
        <v>44482</v>
      </c>
      <c r="C358" s="1" t="n">
        <v>45964</v>
      </c>
      <c r="D358" t="inlineStr">
        <is>
          <t>UPPSALA LÄN</t>
        </is>
      </c>
      <c r="E358" t="inlineStr">
        <is>
          <t>ENKÖPING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671-2022</t>
        </is>
      </c>
      <c r="B359" s="1" t="n">
        <v>44568</v>
      </c>
      <c r="C359" s="1" t="n">
        <v>45964</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7868-2024</t>
        </is>
      </c>
      <c r="B360" s="1" t="n">
        <v>45350.33020833333</v>
      </c>
      <c r="C360" s="1" t="n">
        <v>45964</v>
      </c>
      <c r="D360" t="inlineStr">
        <is>
          <t>UPPSALA LÄN</t>
        </is>
      </c>
      <c r="E360" t="inlineStr">
        <is>
          <t>ENKÖPING</t>
        </is>
      </c>
      <c r="G360" t="n">
        <v>0.3</v>
      </c>
      <c r="H360" t="n">
        <v>0</v>
      </c>
      <c r="I360" t="n">
        <v>0</v>
      </c>
      <c r="J360" t="n">
        <v>0</v>
      </c>
      <c r="K360" t="n">
        <v>0</v>
      </c>
      <c r="L360" t="n">
        <v>0</v>
      </c>
      <c r="M360" t="n">
        <v>0</v>
      </c>
      <c r="N360" t="n">
        <v>0</v>
      </c>
      <c r="O360" t="n">
        <v>0</v>
      </c>
      <c r="P360" t="n">
        <v>0</v>
      </c>
      <c r="Q360" t="n">
        <v>0</v>
      </c>
      <c r="R360" s="2" t="inlineStr"/>
    </row>
    <row r="361" ht="15" customHeight="1">
      <c r="A361" t="inlineStr">
        <is>
          <t>A 7870-2024</t>
        </is>
      </c>
      <c r="B361" s="1" t="n">
        <v>45350.33349537037</v>
      </c>
      <c r="C361" s="1" t="n">
        <v>45964</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9231-2023</t>
        </is>
      </c>
      <c r="B362" s="1" t="n">
        <v>44980</v>
      </c>
      <c r="C362" s="1" t="n">
        <v>45964</v>
      </c>
      <c r="D362" t="inlineStr">
        <is>
          <t>UPPSALA LÄN</t>
        </is>
      </c>
      <c r="E362" t="inlineStr">
        <is>
          <t>ENKÖPING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43488-2023</t>
        </is>
      </c>
      <c r="B363" s="1" t="n">
        <v>45181</v>
      </c>
      <c r="C363" s="1" t="n">
        <v>45964</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16916-2022</t>
        </is>
      </c>
      <c r="B364" s="1" t="n">
        <v>44676</v>
      </c>
      <c r="C364" s="1" t="n">
        <v>45964</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9171-2024</t>
        </is>
      </c>
      <c r="B365" s="1" t="n">
        <v>45358</v>
      </c>
      <c r="C365" s="1" t="n">
        <v>45964</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30514-2021</t>
        </is>
      </c>
      <c r="B366" s="1" t="n">
        <v>44364</v>
      </c>
      <c r="C366" s="1" t="n">
        <v>45964</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32111-2025</t>
        </is>
      </c>
      <c r="B367" s="1" t="n">
        <v>45835</v>
      </c>
      <c r="C367" s="1" t="n">
        <v>45964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31604-2023</t>
        </is>
      </c>
      <c r="B368" s="1" t="n">
        <v>45117.50368055556</v>
      </c>
      <c r="C368" s="1" t="n">
        <v>45964</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43230-2023</t>
        </is>
      </c>
      <c r="B369" s="1" t="n">
        <v>45183</v>
      </c>
      <c r="C369" s="1" t="n">
        <v>45964</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45362-2022</t>
        </is>
      </c>
      <c r="B370" s="1" t="n">
        <v>44844.62366898148</v>
      </c>
      <c r="C370" s="1" t="n">
        <v>45964</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25598-2021</t>
        </is>
      </c>
      <c r="B371" s="1" t="n">
        <v>44343.4558912037</v>
      </c>
      <c r="C371" s="1" t="n">
        <v>45964</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15162-2025</t>
        </is>
      </c>
      <c r="B372" s="1" t="n">
        <v>45744</v>
      </c>
      <c r="C372" s="1" t="n">
        <v>45964</v>
      </c>
      <c r="D372" t="inlineStr">
        <is>
          <t>UPPSALA LÄN</t>
        </is>
      </c>
      <c r="E372" t="inlineStr">
        <is>
          <t>ENKÖPING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45964</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32031-2025</t>
        </is>
      </c>
      <c r="B374" s="1" t="n">
        <v>45835.41712962963</v>
      </c>
      <c r="C374" s="1" t="n">
        <v>45964</v>
      </c>
      <c r="D374" t="inlineStr">
        <is>
          <t>UPPSALA LÄN</t>
        </is>
      </c>
      <c r="E374" t="inlineStr">
        <is>
          <t>ENKÖPING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34617-2022</t>
        </is>
      </c>
      <c r="B375" s="1" t="n">
        <v>44795</v>
      </c>
      <c r="C375" s="1" t="n">
        <v>45964</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44575.56153935185</v>
      </c>
      <c r="C376" s="1" t="n">
        <v>45964</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18583-2021</t>
        </is>
      </c>
      <c r="B377" s="1" t="n">
        <v>44306</v>
      </c>
      <c r="C377" s="1" t="n">
        <v>45964</v>
      </c>
      <c r="D377" t="inlineStr">
        <is>
          <t>UPPSALA LÄN</t>
        </is>
      </c>
      <c r="E377" t="inlineStr">
        <is>
          <t>ENKÖPING</t>
        </is>
      </c>
      <c r="G377" t="n">
        <v>0.4</v>
      </c>
      <c r="H377" t="n">
        <v>0</v>
      </c>
      <c r="I377" t="n">
        <v>0</v>
      </c>
      <c r="J377" t="n">
        <v>0</v>
      </c>
      <c r="K377" t="n">
        <v>0</v>
      </c>
      <c r="L377" t="n">
        <v>0</v>
      </c>
      <c r="M377" t="n">
        <v>0</v>
      </c>
      <c r="N377" t="n">
        <v>0</v>
      </c>
      <c r="O377" t="n">
        <v>0</v>
      </c>
      <c r="P377" t="n">
        <v>0</v>
      </c>
      <c r="Q377" t="n">
        <v>0</v>
      </c>
      <c r="R377" s="2" t="inlineStr"/>
    </row>
    <row r="378" ht="15" customHeight="1">
      <c r="A378" t="inlineStr">
        <is>
          <t>A 1695-2025</t>
        </is>
      </c>
      <c r="B378" s="1" t="n">
        <v>45670</v>
      </c>
      <c r="C378" s="1" t="n">
        <v>45964</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52388-2024</t>
        </is>
      </c>
      <c r="B379" s="1" t="n">
        <v>45609.42939814815</v>
      </c>
      <c r="C379" s="1" t="n">
        <v>45964</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38941-2025</t>
        </is>
      </c>
      <c r="B380" s="1" t="n">
        <v>45887</v>
      </c>
      <c r="C380" s="1" t="n">
        <v>45964</v>
      </c>
      <c r="D380" t="inlineStr">
        <is>
          <t>UPPSALA LÄN</t>
        </is>
      </c>
      <c r="E380" t="inlineStr">
        <is>
          <t>ENKÖPING</t>
        </is>
      </c>
      <c r="F380" t="inlineStr">
        <is>
          <t>Övriga statliga verk och myndigheter</t>
        </is>
      </c>
      <c r="G380" t="n">
        <v>0.6</v>
      </c>
      <c r="H380" t="n">
        <v>0</v>
      </c>
      <c r="I380" t="n">
        <v>0</v>
      </c>
      <c r="J380" t="n">
        <v>0</v>
      </c>
      <c r="K380" t="n">
        <v>0</v>
      </c>
      <c r="L380" t="n">
        <v>0</v>
      </c>
      <c r="M380" t="n">
        <v>0</v>
      </c>
      <c r="N380" t="n">
        <v>0</v>
      </c>
      <c r="O380" t="n">
        <v>0</v>
      </c>
      <c r="P380" t="n">
        <v>0</v>
      </c>
      <c r="Q380" t="n">
        <v>0</v>
      </c>
      <c r="R380" s="2" t="inlineStr"/>
    </row>
    <row r="381" ht="15" customHeight="1">
      <c r="A381" t="inlineStr">
        <is>
          <t>A 53607-2023</t>
        </is>
      </c>
      <c r="B381" s="1" t="n">
        <v>45230</v>
      </c>
      <c r="C381" s="1" t="n">
        <v>45964</v>
      </c>
      <c r="D381" t="inlineStr">
        <is>
          <t>UPPSALA LÄN</t>
        </is>
      </c>
      <c r="E381" t="inlineStr">
        <is>
          <t>ENKÖPING</t>
        </is>
      </c>
      <c r="F381" t="inlineStr">
        <is>
          <t>Allmännings- och besparingsskogar</t>
        </is>
      </c>
      <c r="G381" t="n">
        <v>6.3</v>
      </c>
      <c r="H381" t="n">
        <v>0</v>
      </c>
      <c r="I381" t="n">
        <v>0</v>
      </c>
      <c r="J381" t="n">
        <v>0</v>
      </c>
      <c r="K381" t="n">
        <v>0</v>
      </c>
      <c r="L381" t="n">
        <v>0</v>
      </c>
      <c r="M381" t="n">
        <v>0</v>
      </c>
      <c r="N381" t="n">
        <v>0</v>
      </c>
      <c r="O381" t="n">
        <v>0</v>
      </c>
      <c r="P381" t="n">
        <v>0</v>
      </c>
      <c r="Q381" t="n">
        <v>0</v>
      </c>
      <c r="R381" s="2" t="inlineStr"/>
    </row>
    <row r="382" ht="15" customHeight="1">
      <c r="A382" t="inlineStr">
        <is>
          <t>A 15740-2025</t>
        </is>
      </c>
      <c r="B382" s="1" t="n">
        <v>45748</v>
      </c>
      <c r="C382" s="1" t="n">
        <v>45964</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54357-2023</t>
        </is>
      </c>
      <c r="B383" s="1" t="n">
        <v>45225</v>
      </c>
      <c r="C383" s="1" t="n">
        <v>45964</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40202-2024</t>
        </is>
      </c>
      <c r="B384" s="1" t="n">
        <v>45554</v>
      </c>
      <c r="C384" s="1" t="n">
        <v>45964</v>
      </c>
      <c r="D384" t="inlineStr">
        <is>
          <t>UPPSALA LÄN</t>
        </is>
      </c>
      <c r="E384" t="inlineStr">
        <is>
          <t>ENKÖPING</t>
        </is>
      </c>
      <c r="G384" t="n">
        <v>6.2</v>
      </c>
      <c r="H384" t="n">
        <v>0</v>
      </c>
      <c r="I384" t="n">
        <v>0</v>
      </c>
      <c r="J384" t="n">
        <v>0</v>
      </c>
      <c r="K384" t="n">
        <v>0</v>
      </c>
      <c r="L384" t="n">
        <v>0</v>
      </c>
      <c r="M384" t="n">
        <v>0</v>
      </c>
      <c r="N384" t="n">
        <v>0</v>
      </c>
      <c r="O384" t="n">
        <v>0</v>
      </c>
      <c r="P384" t="n">
        <v>0</v>
      </c>
      <c r="Q384" t="n">
        <v>0</v>
      </c>
      <c r="R384" s="2" t="inlineStr"/>
    </row>
    <row r="385" ht="15" customHeight="1">
      <c r="A385" t="inlineStr">
        <is>
          <t>A 24962-2023</t>
        </is>
      </c>
      <c r="B385" s="1" t="n">
        <v>45085.60123842592</v>
      </c>
      <c r="C385" s="1" t="n">
        <v>45964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67765-2020</t>
        </is>
      </c>
      <c r="B386" s="1" t="n">
        <v>44182</v>
      </c>
      <c r="C386" s="1" t="n">
        <v>45964</v>
      </c>
      <c r="D386" t="inlineStr">
        <is>
          <t>UPPSALA LÄN</t>
        </is>
      </c>
      <c r="E386" t="inlineStr">
        <is>
          <t>ENKÖPING</t>
        </is>
      </c>
      <c r="G386" t="n">
        <v>3.6</v>
      </c>
      <c r="H386" t="n">
        <v>0</v>
      </c>
      <c r="I386" t="n">
        <v>0</v>
      </c>
      <c r="J386" t="n">
        <v>0</v>
      </c>
      <c r="K386" t="n">
        <v>0</v>
      </c>
      <c r="L386" t="n">
        <v>0</v>
      </c>
      <c r="M386" t="n">
        <v>0</v>
      </c>
      <c r="N386" t="n">
        <v>0</v>
      </c>
      <c r="O386" t="n">
        <v>0</v>
      </c>
      <c r="P386" t="n">
        <v>0</v>
      </c>
      <c r="Q386" t="n">
        <v>0</v>
      </c>
      <c r="R386" s="2" t="inlineStr"/>
    </row>
    <row r="387" ht="15" customHeight="1">
      <c r="A387" t="inlineStr">
        <is>
          <t>A 8306-2021</t>
        </is>
      </c>
      <c r="B387" s="1" t="n">
        <v>44244</v>
      </c>
      <c r="C387" s="1" t="n">
        <v>45964</v>
      </c>
      <c r="D387" t="inlineStr">
        <is>
          <t>UPPSALA LÄN</t>
        </is>
      </c>
      <c r="E387" t="inlineStr">
        <is>
          <t>ENKÖPING</t>
        </is>
      </c>
      <c r="G387" t="n">
        <v>14.9</v>
      </c>
      <c r="H387" t="n">
        <v>0</v>
      </c>
      <c r="I387" t="n">
        <v>0</v>
      </c>
      <c r="J387" t="n">
        <v>0</v>
      </c>
      <c r="K387" t="n">
        <v>0</v>
      </c>
      <c r="L387" t="n">
        <v>0</v>
      </c>
      <c r="M387" t="n">
        <v>0</v>
      </c>
      <c r="N387" t="n">
        <v>0</v>
      </c>
      <c r="O387" t="n">
        <v>0</v>
      </c>
      <c r="P387" t="n">
        <v>0</v>
      </c>
      <c r="Q387" t="n">
        <v>0</v>
      </c>
      <c r="R387" s="2" t="inlineStr"/>
    </row>
    <row r="388" ht="15" customHeight="1">
      <c r="A388" t="inlineStr">
        <is>
          <t>A 6298-2021</t>
        </is>
      </c>
      <c r="B388" s="1" t="n">
        <v>44235</v>
      </c>
      <c r="C388" s="1" t="n">
        <v>45964</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57152-2021</t>
        </is>
      </c>
      <c r="B389" s="1" t="n">
        <v>44482</v>
      </c>
      <c r="C389" s="1" t="n">
        <v>45964</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58961-2024</t>
        </is>
      </c>
      <c r="B390" s="1" t="n">
        <v>45636.585</v>
      </c>
      <c r="C390" s="1" t="n">
        <v>45964</v>
      </c>
      <c r="D390" t="inlineStr">
        <is>
          <t>UPPSALA LÄN</t>
        </is>
      </c>
      <c r="E390" t="inlineStr">
        <is>
          <t>ENKÖPING</t>
        </is>
      </c>
      <c r="G390" t="n">
        <v>4</v>
      </c>
      <c r="H390" t="n">
        <v>0</v>
      </c>
      <c r="I390" t="n">
        <v>0</v>
      </c>
      <c r="J390" t="n">
        <v>0</v>
      </c>
      <c r="K390" t="n">
        <v>0</v>
      </c>
      <c r="L390" t="n">
        <v>0</v>
      </c>
      <c r="M390" t="n">
        <v>0</v>
      </c>
      <c r="N390" t="n">
        <v>0</v>
      </c>
      <c r="O390" t="n">
        <v>0</v>
      </c>
      <c r="P390" t="n">
        <v>0</v>
      </c>
      <c r="Q390" t="n">
        <v>0</v>
      </c>
      <c r="R390" s="2" t="inlineStr"/>
    </row>
    <row r="391" ht="15" customHeight="1">
      <c r="A391" t="inlineStr">
        <is>
          <t>A 18994-2025</t>
        </is>
      </c>
      <c r="B391" s="1" t="n">
        <v>45764.57350694444</v>
      </c>
      <c r="C391" s="1" t="n">
        <v>45964</v>
      </c>
      <c r="D391" t="inlineStr">
        <is>
          <t>UPPSALA LÄN</t>
        </is>
      </c>
      <c r="E391" t="inlineStr">
        <is>
          <t>ENKÖPING</t>
        </is>
      </c>
      <c r="G391" t="n">
        <v>3.8</v>
      </c>
      <c r="H391" t="n">
        <v>0</v>
      </c>
      <c r="I391" t="n">
        <v>0</v>
      </c>
      <c r="J391" t="n">
        <v>0</v>
      </c>
      <c r="K391" t="n">
        <v>0</v>
      </c>
      <c r="L391" t="n">
        <v>0</v>
      </c>
      <c r="M391" t="n">
        <v>0</v>
      </c>
      <c r="N391" t="n">
        <v>0</v>
      </c>
      <c r="O391" t="n">
        <v>0</v>
      </c>
      <c r="P391" t="n">
        <v>0</v>
      </c>
      <c r="Q391" t="n">
        <v>0</v>
      </c>
      <c r="R391" s="2" t="inlineStr"/>
    </row>
    <row r="392" ht="15" customHeight="1">
      <c r="A392" t="inlineStr">
        <is>
          <t>A 57848-2024</t>
        </is>
      </c>
      <c r="B392" s="1" t="n">
        <v>45631.40947916666</v>
      </c>
      <c r="C392" s="1" t="n">
        <v>45964</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49601-2024</t>
        </is>
      </c>
      <c r="B393" s="1" t="n">
        <v>45596.56288194445</v>
      </c>
      <c r="C393" s="1" t="n">
        <v>45964</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34124-2021</t>
        </is>
      </c>
      <c r="B394" s="1" t="n">
        <v>44379</v>
      </c>
      <c r="C394" s="1" t="n">
        <v>45964</v>
      </c>
      <c r="D394" t="inlineStr">
        <is>
          <t>UPPSALA LÄN</t>
        </is>
      </c>
      <c r="E394" t="inlineStr">
        <is>
          <t>ENKÖPING</t>
        </is>
      </c>
      <c r="G394" t="n">
        <v>2.2</v>
      </c>
      <c r="H394" t="n">
        <v>0</v>
      </c>
      <c r="I394" t="n">
        <v>0</v>
      </c>
      <c r="J394" t="n">
        <v>0</v>
      </c>
      <c r="K394" t="n">
        <v>0</v>
      </c>
      <c r="L394" t="n">
        <v>0</v>
      </c>
      <c r="M394" t="n">
        <v>0</v>
      </c>
      <c r="N394" t="n">
        <v>0</v>
      </c>
      <c r="O394" t="n">
        <v>0</v>
      </c>
      <c r="P394" t="n">
        <v>0</v>
      </c>
      <c r="Q394" t="n">
        <v>0</v>
      </c>
      <c r="R394" s="2" t="inlineStr"/>
    </row>
    <row r="395" ht="15" customHeight="1">
      <c r="A395" t="inlineStr">
        <is>
          <t>A 53595-2023</t>
        </is>
      </c>
      <c r="B395" s="1" t="n">
        <v>45223</v>
      </c>
      <c r="C395" s="1" t="n">
        <v>45964</v>
      </c>
      <c r="D395" t="inlineStr">
        <is>
          <t>UPPSALA LÄN</t>
        </is>
      </c>
      <c r="E395" t="inlineStr">
        <is>
          <t>ENKÖPING</t>
        </is>
      </c>
      <c r="G395" t="n">
        <v>2.6</v>
      </c>
      <c r="H395" t="n">
        <v>0</v>
      </c>
      <c r="I395" t="n">
        <v>0</v>
      </c>
      <c r="J395" t="n">
        <v>0</v>
      </c>
      <c r="K395" t="n">
        <v>0</v>
      </c>
      <c r="L395" t="n">
        <v>0</v>
      </c>
      <c r="M395" t="n">
        <v>0</v>
      </c>
      <c r="N395" t="n">
        <v>0</v>
      </c>
      <c r="O395" t="n">
        <v>0</v>
      </c>
      <c r="P395" t="n">
        <v>0</v>
      </c>
      <c r="Q395" t="n">
        <v>0</v>
      </c>
      <c r="R395" s="2" t="inlineStr"/>
    </row>
    <row r="396" ht="15" customHeight="1">
      <c r="A396" t="inlineStr">
        <is>
          <t>A 28518-2024</t>
        </is>
      </c>
      <c r="B396" s="1" t="n">
        <v>45477</v>
      </c>
      <c r="C396" s="1" t="n">
        <v>45964</v>
      </c>
      <c r="D396" t="inlineStr">
        <is>
          <t>UPPSALA LÄN</t>
        </is>
      </c>
      <c r="E396" t="inlineStr">
        <is>
          <t>ENKÖPING</t>
        </is>
      </c>
      <c r="G396" t="n">
        <v>3.4</v>
      </c>
      <c r="H396" t="n">
        <v>0</v>
      </c>
      <c r="I396" t="n">
        <v>0</v>
      </c>
      <c r="J396" t="n">
        <v>0</v>
      </c>
      <c r="K396" t="n">
        <v>0</v>
      </c>
      <c r="L396" t="n">
        <v>0</v>
      </c>
      <c r="M396" t="n">
        <v>0</v>
      </c>
      <c r="N396" t="n">
        <v>0</v>
      </c>
      <c r="O396" t="n">
        <v>0</v>
      </c>
      <c r="P396" t="n">
        <v>0</v>
      </c>
      <c r="Q396" t="n">
        <v>0</v>
      </c>
      <c r="R396" s="2" t="inlineStr"/>
    </row>
    <row r="397" ht="15" customHeight="1">
      <c r="A397" t="inlineStr">
        <is>
          <t>A 52299-2023</t>
        </is>
      </c>
      <c r="B397" s="1" t="n">
        <v>45224.61636574074</v>
      </c>
      <c r="C397" s="1" t="n">
        <v>45964</v>
      </c>
      <c r="D397" t="inlineStr">
        <is>
          <t>UPPSALA LÄN</t>
        </is>
      </c>
      <c r="E397" t="inlineStr">
        <is>
          <t>ENKÖPING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15893-2024</t>
        </is>
      </c>
      <c r="B398" s="1" t="n">
        <v>45405</v>
      </c>
      <c r="C398" s="1" t="n">
        <v>45964</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18028-2023</t>
        </is>
      </c>
      <c r="B399" s="1" t="n">
        <v>45040</v>
      </c>
      <c r="C399" s="1" t="n">
        <v>45964</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21017-2023</t>
        </is>
      </c>
      <c r="B400" s="1" t="n">
        <v>45061</v>
      </c>
      <c r="C400" s="1" t="n">
        <v>45964</v>
      </c>
      <c r="D400" t="inlineStr">
        <is>
          <t>UPPSALA LÄN</t>
        </is>
      </c>
      <c r="E400" t="inlineStr">
        <is>
          <t>ENKÖPING</t>
        </is>
      </c>
      <c r="G400" t="n">
        <v>4.8</v>
      </c>
      <c r="H400" t="n">
        <v>0</v>
      </c>
      <c r="I400" t="n">
        <v>0</v>
      </c>
      <c r="J400" t="n">
        <v>0</v>
      </c>
      <c r="K400" t="n">
        <v>0</v>
      </c>
      <c r="L400" t="n">
        <v>0</v>
      </c>
      <c r="M400" t="n">
        <v>0</v>
      </c>
      <c r="N400" t="n">
        <v>0</v>
      </c>
      <c r="O400" t="n">
        <v>0</v>
      </c>
      <c r="P400" t="n">
        <v>0</v>
      </c>
      <c r="Q400" t="n">
        <v>0</v>
      </c>
      <c r="R400" s="2" t="inlineStr"/>
    </row>
    <row r="401" ht="15" customHeight="1">
      <c r="A401" t="inlineStr">
        <is>
          <t>A 30634-2022</t>
        </is>
      </c>
      <c r="B401" s="1" t="n">
        <v>44763.45711805556</v>
      </c>
      <c r="C401" s="1" t="n">
        <v>45964</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29513-2025</t>
        </is>
      </c>
      <c r="B402" s="1" t="n">
        <v>45825</v>
      </c>
      <c r="C402" s="1" t="n">
        <v>45964</v>
      </c>
      <c r="D402" t="inlineStr">
        <is>
          <t>UPPSALA LÄN</t>
        </is>
      </c>
      <c r="E402" t="inlineStr">
        <is>
          <t>ENKÖPING</t>
        </is>
      </c>
      <c r="G402" t="n">
        <v>2.6</v>
      </c>
      <c r="H402" t="n">
        <v>0</v>
      </c>
      <c r="I402" t="n">
        <v>0</v>
      </c>
      <c r="J402" t="n">
        <v>0</v>
      </c>
      <c r="K402" t="n">
        <v>0</v>
      </c>
      <c r="L402" t="n">
        <v>0</v>
      </c>
      <c r="M402" t="n">
        <v>0</v>
      </c>
      <c r="N402" t="n">
        <v>0</v>
      </c>
      <c r="O402" t="n">
        <v>0</v>
      </c>
      <c r="P402" t="n">
        <v>0</v>
      </c>
      <c r="Q402" t="n">
        <v>0</v>
      </c>
      <c r="R402" s="2" t="inlineStr"/>
    </row>
    <row r="403" ht="15" customHeight="1">
      <c r="A403" t="inlineStr">
        <is>
          <t>A 18259-2025</t>
        </is>
      </c>
      <c r="B403" s="1" t="n">
        <v>45762</v>
      </c>
      <c r="C403" s="1" t="n">
        <v>45964</v>
      </c>
      <c r="D403" t="inlineStr">
        <is>
          <t>UPPSALA LÄN</t>
        </is>
      </c>
      <c r="E403" t="inlineStr">
        <is>
          <t>ENKÖPING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17844-2025</t>
        </is>
      </c>
      <c r="B404" s="1" t="n">
        <v>45758.59920138889</v>
      </c>
      <c r="C404" s="1" t="n">
        <v>45964</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27837-2025</t>
        </is>
      </c>
      <c r="B405" s="1" t="n">
        <v>45817.37207175926</v>
      </c>
      <c r="C405" s="1" t="n">
        <v>45964</v>
      </c>
      <c r="D405" t="inlineStr">
        <is>
          <t>UPPSALA LÄN</t>
        </is>
      </c>
      <c r="E405" t="inlineStr">
        <is>
          <t>ENKÖPING</t>
        </is>
      </c>
      <c r="G405" t="n">
        <v>7.3</v>
      </c>
      <c r="H405" t="n">
        <v>0</v>
      </c>
      <c r="I405" t="n">
        <v>0</v>
      </c>
      <c r="J405" t="n">
        <v>0</v>
      </c>
      <c r="K405" t="n">
        <v>0</v>
      </c>
      <c r="L405" t="n">
        <v>0</v>
      </c>
      <c r="M405" t="n">
        <v>0</v>
      </c>
      <c r="N405" t="n">
        <v>0</v>
      </c>
      <c r="O405" t="n">
        <v>0</v>
      </c>
      <c r="P405" t="n">
        <v>0</v>
      </c>
      <c r="Q405" t="n">
        <v>0</v>
      </c>
      <c r="R405" s="2" t="inlineStr"/>
    </row>
    <row r="406" ht="15" customHeight="1">
      <c r="A406" t="inlineStr">
        <is>
          <t>A 34990-2025</t>
        </is>
      </c>
      <c r="B406" s="1" t="n">
        <v>45849.78916666667</v>
      </c>
      <c r="C406" s="1" t="n">
        <v>45964</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14004-2023</t>
        </is>
      </c>
      <c r="B407" s="1" t="n">
        <v>45008</v>
      </c>
      <c r="C407" s="1" t="n">
        <v>45964</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48843-2023</t>
        </is>
      </c>
      <c r="B408" s="1" t="n">
        <v>45209</v>
      </c>
      <c r="C408" s="1" t="n">
        <v>45964</v>
      </c>
      <c r="D408" t="inlineStr">
        <is>
          <t>UPPSALA LÄN</t>
        </is>
      </c>
      <c r="E408" t="inlineStr">
        <is>
          <t>ENKÖPING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33670-2024</t>
        </is>
      </c>
      <c r="B409" s="1" t="n">
        <v>45520</v>
      </c>
      <c r="C409" s="1" t="n">
        <v>45964</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52005-2024</t>
        </is>
      </c>
      <c r="B410" s="1" t="n">
        <v>45607.7627662037</v>
      </c>
      <c r="C410" s="1" t="n">
        <v>45964</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1960-2022</t>
        </is>
      </c>
      <c r="B411" s="1" t="n">
        <v>44575</v>
      </c>
      <c r="C411" s="1" t="n">
        <v>45964</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6157-2021</t>
        </is>
      </c>
      <c r="B412" s="1" t="n">
        <v>44232</v>
      </c>
      <c r="C412" s="1" t="n">
        <v>45964</v>
      </c>
      <c r="D412" t="inlineStr">
        <is>
          <t>UPPSALA LÄN</t>
        </is>
      </c>
      <c r="E412" t="inlineStr">
        <is>
          <t>ENKÖPING</t>
        </is>
      </c>
      <c r="G412" t="n">
        <v>3.9</v>
      </c>
      <c r="H412" t="n">
        <v>0</v>
      </c>
      <c r="I412" t="n">
        <v>0</v>
      </c>
      <c r="J412" t="n">
        <v>0</v>
      </c>
      <c r="K412" t="n">
        <v>0</v>
      </c>
      <c r="L412" t="n">
        <v>0</v>
      </c>
      <c r="M412" t="n">
        <v>0</v>
      </c>
      <c r="N412" t="n">
        <v>0</v>
      </c>
      <c r="O412" t="n">
        <v>0</v>
      </c>
      <c r="P412" t="n">
        <v>0</v>
      </c>
      <c r="Q412" t="n">
        <v>0</v>
      </c>
      <c r="R412" s="2" t="inlineStr"/>
    </row>
    <row r="413" ht="15" customHeight="1">
      <c r="A413" t="inlineStr">
        <is>
          <t>A 21501-2025</t>
        </is>
      </c>
      <c r="B413" s="1" t="n">
        <v>45782</v>
      </c>
      <c r="C413" s="1" t="n">
        <v>45964</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19376-2024</t>
        </is>
      </c>
      <c r="B414" s="1" t="n">
        <v>45429</v>
      </c>
      <c r="C414" s="1" t="n">
        <v>45964</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34988-2025</t>
        </is>
      </c>
      <c r="B415" s="1" t="n">
        <v>45849</v>
      </c>
      <c r="C415" s="1" t="n">
        <v>45964</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46940-2025</t>
        </is>
      </c>
      <c r="B416" s="1" t="n">
        <v>45929.45483796296</v>
      </c>
      <c r="C416" s="1" t="n">
        <v>45964</v>
      </c>
      <c r="D416" t="inlineStr">
        <is>
          <t>UPPSALA LÄN</t>
        </is>
      </c>
      <c r="E416" t="inlineStr">
        <is>
          <t>ENKÖPING</t>
        </is>
      </c>
      <c r="G416" t="n">
        <v>5.3</v>
      </c>
      <c r="H416" t="n">
        <v>0</v>
      </c>
      <c r="I416" t="n">
        <v>0</v>
      </c>
      <c r="J416" t="n">
        <v>0</v>
      </c>
      <c r="K416" t="n">
        <v>0</v>
      </c>
      <c r="L416" t="n">
        <v>0</v>
      </c>
      <c r="M416" t="n">
        <v>0</v>
      </c>
      <c r="N416" t="n">
        <v>0</v>
      </c>
      <c r="O416" t="n">
        <v>0</v>
      </c>
      <c r="P416" t="n">
        <v>0</v>
      </c>
      <c r="Q416" t="n">
        <v>0</v>
      </c>
      <c r="R416" s="2" t="inlineStr"/>
    </row>
    <row r="417" ht="15" customHeight="1">
      <c r="A417" t="inlineStr">
        <is>
          <t>A 34987-2025</t>
        </is>
      </c>
      <c r="B417" s="1" t="n">
        <v>45849</v>
      </c>
      <c r="C417" s="1" t="n">
        <v>45964</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34989-2025</t>
        </is>
      </c>
      <c r="B418" s="1" t="n">
        <v>45849</v>
      </c>
      <c r="C418" s="1" t="n">
        <v>45964</v>
      </c>
      <c r="D418" t="inlineStr">
        <is>
          <t>UPPSALA LÄN</t>
        </is>
      </c>
      <c r="E418" t="inlineStr">
        <is>
          <t>ENKÖPING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49627-2024</t>
        </is>
      </c>
      <c r="B419" s="1" t="n">
        <v>45596.59140046296</v>
      </c>
      <c r="C419" s="1" t="n">
        <v>45964</v>
      </c>
      <c r="D419" t="inlineStr">
        <is>
          <t>UPPSALA LÄN</t>
        </is>
      </c>
      <c r="E419" t="inlineStr">
        <is>
          <t>ENKÖPING</t>
        </is>
      </c>
      <c r="G419" t="n">
        <v>0.4</v>
      </c>
      <c r="H419" t="n">
        <v>0</v>
      </c>
      <c r="I419" t="n">
        <v>0</v>
      </c>
      <c r="J419" t="n">
        <v>0</v>
      </c>
      <c r="K419" t="n">
        <v>0</v>
      </c>
      <c r="L419" t="n">
        <v>0</v>
      </c>
      <c r="M419" t="n">
        <v>0</v>
      </c>
      <c r="N419" t="n">
        <v>0</v>
      </c>
      <c r="O419" t="n">
        <v>0</v>
      </c>
      <c r="P419" t="n">
        <v>0</v>
      </c>
      <c r="Q419" t="n">
        <v>0</v>
      </c>
      <c r="R419" s="2" t="inlineStr"/>
    </row>
    <row r="420" ht="15" customHeight="1">
      <c r="A420" t="inlineStr">
        <is>
          <t>A 57998-2024</t>
        </is>
      </c>
      <c r="B420" s="1" t="n">
        <v>45631</v>
      </c>
      <c r="C420" s="1" t="n">
        <v>45964</v>
      </c>
      <c r="D420" t="inlineStr">
        <is>
          <t>UPPSALA LÄN</t>
        </is>
      </c>
      <c r="E420" t="inlineStr">
        <is>
          <t>ENKÖPING</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9667-2024</t>
        </is>
      </c>
      <c r="B421" s="1" t="n">
        <v>45362.45130787037</v>
      </c>
      <c r="C421" s="1" t="n">
        <v>45964</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56176-2021</t>
        </is>
      </c>
      <c r="B422" s="1" t="n">
        <v>44477</v>
      </c>
      <c r="C422" s="1" t="n">
        <v>45964</v>
      </c>
      <c r="D422" t="inlineStr">
        <is>
          <t>UPPSALA LÄN</t>
        </is>
      </c>
      <c r="E422" t="inlineStr">
        <is>
          <t>ENKÖPING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35645-2021</t>
        </is>
      </c>
      <c r="B423" s="1" t="n">
        <v>44386.42</v>
      </c>
      <c r="C423" s="1" t="n">
        <v>45964</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36492-2025</t>
        </is>
      </c>
      <c r="B424" s="1" t="n">
        <v>45869</v>
      </c>
      <c r="C424" s="1" t="n">
        <v>45964</v>
      </c>
      <c r="D424" t="inlineStr">
        <is>
          <t>UPPSALA LÄN</t>
        </is>
      </c>
      <c r="E424" t="inlineStr">
        <is>
          <t>ENKÖPING</t>
        </is>
      </c>
      <c r="G424" t="n">
        <v>6.3</v>
      </c>
      <c r="H424" t="n">
        <v>0</v>
      </c>
      <c r="I424" t="n">
        <v>0</v>
      </c>
      <c r="J424" t="n">
        <v>0</v>
      </c>
      <c r="K424" t="n">
        <v>0</v>
      </c>
      <c r="L424" t="n">
        <v>0</v>
      </c>
      <c r="M424" t="n">
        <v>0</v>
      </c>
      <c r="N424" t="n">
        <v>0</v>
      </c>
      <c r="O424" t="n">
        <v>0</v>
      </c>
      <c r="P424" t="n">
        <v>0</v>
      </c>
      <c r="Q424" t="n">
        <v>0</v>
      </c>
      <c r="R424" s="2" t="inlineStr"/>
    </row>
    <row r="425" ht="15" customHeight="1">
      <c r="A425" t="inlineStr">
        <is>
          <t>A 36350-2025</t>
        </is>
      </c>
      <c r="B425" s="1" t="n">
        <v>45868</v>
      </c>
      <c r="C425" s="1" t="n">
        <v>45964</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69344-2021</t>
        </is>
      </c>
      <c r="B426" s="1" t="n">
        <v>44531</v>
      </c>
      <c r="C426" s="1" t="n">
        <v>45964</v>
      </c>
      <c r="D426" t="inlineStr">
        <is>
          <t>UPPSALA LÄN</t>
        </is>
      </c>
      <c r="E426" t="inlineStr">
        <is>
          <t>ENKÖPING</t>
        </is>
      </c>
      <c r="G426" t="n">
        <v>2.9</v>
      </c>
      <c r="H426" t="n">
        <v>0</v>
      </c>
      <c r="I426" t="n">
        <v>0</v>
      </c>
      <c r="J426" t="n">
        <v>0</v>
      </c>
      <c r="K426" t="n">
        <v>0</v>
      </c>
      <c r="L426" t="n">
        <v>0</v>
      </c>
      <c r="M426" t="n">
        <v>0</v>
      </c>
      <c r="N426" t="n">
        <v>0</v>
      </c>
      <c r="O426" t="n">
        <v>0</v>
      </c>
      <c r="P426" t="n">
        <v>0</v>
      </c>
      <c r="Q426" t="n">
        <v>0</v>
      </c>
      <c r="R426" s="2" t="inlineStr"/>
    </row>
    <row r="427" ht="15" customHeight="1">
      <c r="A427" t="inlineStr">
        <is>
          <t>A 15711-2025</t>
        </is>
      </c>
      <c r="B427" s="1" t="n">
        <v>45748</v>
      </c>
      <c r="C427" s="1" t="n">
        <v>45964</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39439-2025</t>
        </is>
      </c>
      <c r="B428" s="1" t="n">
        <v>45889</v>
      </c>
      <c r="C428" s="1" t="n">
        <v>45964</v>
      </c>
      <c r="D428" t="inlineStr">
        <is>
          <t>UPPSALA LÄN</t>
        </is>
      </c>
      <c r="E428" t="inlineStr">
        <is>
          <t>ENKÖPING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25989-2025</t>
        </is>
      </c>
      <c r="B429" s="1" t="n">
        <v>45804.65050925926</v>
      </c>
      <c r="C429" s="1" t="n">
        <v>45964</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28318-2024</t>
        </is>
      </c>
      <c r="B430" s="1" t="n">
        <v>45477</v>
      </c>
      <c r="C430" s="1" t="n">
        <v>45964</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36599-2025</t>
        </is>
      </c>
      <c r="B431" s="1" t="n">
        <v>45870.51723379629</v>
      </c>
      <c r="C431" s="1" t="n">
        <v>45964</v>
      </c>
      <c r="D431" t="inlineStr">
        <is>
          <t>UPPSALA LÄN</t>
        </is>
      </c>
      <c r="E431" t="inlineStr">
        <is>
          <t>ENKÖPING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69344-2021</t>
        </is>
      </c>
      <c r="B432" s="1" t="n">
        <v>44531</v>
      </c>
      <c r="C432" s="1" t="n">
        <v>45964</v>
      </c>
      <c r="D432" t="inlineStr">
        <is>
          <t>UPPSALA LÄN</t>
        </is>
      </c>
      <c r="E432" t="inlineStr">
        <is>
          <t>ENKÖPING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51524-2022</t>
        </is>
      </c>
      <c r="B433" s="1" t="n">
        <v>44869</v>
      </c>
      <c r="C433" s="1" t="n">
        <v>45964</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47441-2025</t>
        </is>
      </c>
      <c r="B434" s="1" t="n">
        <v>45930.63986111111</v>
      </c>
      <c r="C434" s="1" t="n">
        <v>45964</v>
      </c>
      <c r="D434" t="inlineStr">
        <is>
          <t>UPPSALA LÄN</t>
        </is>
      </c>
      <c r="E434" t="inlineStr">
        <is>
          <t>ENKÖPING</t>
        </is>
      </c>
      <c r="F434" t="inlineStr">
        <is>
          <t>Allmännings- och besparingsskogar</t>
        </is>
      </c>
      <c r="G434" t="n">
        <v>11.5</v>
      </c>
      <c r="H434" t="n">
        <v>0</v>
      </c>
      <c r="I434" t="n">
        <v>0</v>
      </c>
      <c r="J434" t="n">
        <v>0</v>
      </c>
      <c r="K434" t="n">
        <v>0</v>
      </c>
      <c r="L434" t="n">
        <v>0</v>
      </c>
      <c r="M434" t="n">
        <v>0</v>
      </c>
      <c r="N434" t="n">
        <v>0</v>
      </c>
      <c r="O434" t="n">
        <v>0</v>
      </c>
      <c r="P434" t="n">
        <v>0</v>
      </c>
      <c r="Q434" t="n">
        <v>0</v>
      </c>
      <c r="R434" s="2" t="inlineStr"/>
    </row>
    <row r="435" ht="15" customHeight="1">
      <c r="A435" t="inlineStr">
        <is>
          <t>A 37498-2025</t>
        </is>
      </c>
      <c r="B435" s="1" t="n">
        <v>45877</v>
      </c>
      <c r="C435" s="1" t="n">
        <v>45964</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37296-2025</t>
        </is>
      </c>
      <c r="B436" s="1" t="n">
        <v>45876</v>
      </c>
      <c r="C436" s="1" t="n">
        <v>45964</v>
      </c>
      <c r="D436" t="inlineStr">
        <is>
          <t>UPPSALA LÄN</t>
        </is>
      </c>
      <c r="E436" t="inlineStr">
        <is>
          <t>ENKÖPING</t>
        </is>
      </c>
      <c r="G436" t="n">
        <v>9.5</v>
      </c>
      <c r="H436" t="n">
        <v>0</v>
      </c>
      <c r="I436" t="n">
        <v>0</v>
      </c>
      <c r="J436" t="n">
        <v>0</v>
      </c>
      <c r="K436" t="n">
        <v>0</v>
      </c>
      <c r="L436" t="n">
        <v>0</v>
      </c>
      <c r="M436" t="n">
        <v>0</v>
      </c>
      <c r="N436" t="n">
        <v>0</v>
      </c>
      <c r="O436" t="n">
        <v>0</v>
      </c>
      <c r="P436" t="n">
        <v>0</v>
      </c>
      <c r="Q436" t="n">
        <v>0</v>
      </c>
      <c r="R436" s="2" t="inlineStr"/>
    </row>
    <row r="437" ht="15" customHeight="1">
      <c r="A437" t="inlineStr">
        <is>
          <t>A 46103-2023</t>
        </is>
      </c>
      <c r="B437" s="1" t="n">
        <v>45190</v>
      </c>
      <c r="C437" s="1" t="n">
        <v>45964</v>
      </c>
      <c r="D437" t="inlineStr">
        <is>
          <t>UPPSALA LÄN</t>
        </is>
      </c>
      <c r="E437" t="inlineStr">
        <is>
          <t>ENKÖPING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37319-2025</t>
        </is>
      </c>
      <c r="B438" s="1" t="n">
        <v>45876</v>
      </c>
      <c r="C438" s="1" t="n">
        <v>45964</v>
      </c>
      <c r="D438" t="inlineStr">
        <is>
          <t>UPPSALA LÄN</t>
        </is>
      </c>
      <c r="E438" t="inlineStr">
        <is>
          <t>ENKÖPING</t>
        </is>
      </c>
      <c r="G438" t="n">
        <v>9.5</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44827.63826388889</v>
      </c>
      <c r="C439" s="1" t="n">
        <v>45964</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8137-2025</t>
        </is>
      </c>
      <c r="B440" s="1" t="n">
        <v>45707.8561574074</v>
      </c>
      <c r="C440" s="1" t="n">
        <v>45964</v>
      </c>
      <c r="D440" t="inlineStr">
        <is>
          <t>UPPSALA LÄN</t>
        </is>
      </c>
      <c r="E440" t="inlineStr">
        <is>
          <t>ENKÖPING</t>
        </is>
      </c>
      <c r="G440" t="n">
        <v>0.4</v>
      </c>
      <c r="H440" t="n">
        <v>0</v>
      </c>
      <c r="I440" t="n">
        <v>0</v>
      </c>
      <c r="J440" t="n">
        <v>0</v>
      </c>
      <c r="K440" t="n">
        <v>0</v>
      </c>
      <c r="L440" t="n">
        <v>0</v>
      </c>
      <c r="M440" t="n">
        <v>0</v>
      </c>
      <c r="N440" t="n">
        <v>0</v>
      </c>
      <c r="O440" t="n">
        <v>0</v>
      </c>
      <c r="P440" t="n">
        <v>0</v>
      </c>
      <c r="Q440" t="n">
        <v>0</v>
      </c>
      <c r="R440" s="2" t="inlineStr"/>
    </row>
    <row r="441" ht="15" customHeight="1">
      <c r="A441" t="inlineStr">
        <is>
          <t>A 45755-2025</t>
        </is>
      </c>
      <c r="B441" s="1" t="n">
        <v>45923.50240740741</v>
      </c>
      <c r="C441" s="1" t="n">
        <v>45964</v>
      </c>
      <c r="D441" t="inlineStr">
        <is>
          <t>UPPSALA LÄN</t>
        </is>
      </c>
      <c r="E441" t="inlineStr">
        <is>
          <t>ENKÖPING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49622-2024</t>
        </is>
      </c>
      <c r="B442" s="1" t="n">
        <v>45596.58372685185</v>
      </c>
      <c r="C442" s="1" t="n">
        <v>45964</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23301-2024</t>
        </is>
      </c>
      <c r="B443" s="1" t="n">
        <v>45453.4396412037</v>
      </c>
      <c r="C443" s="1" t="n">
        <v>45964</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52380-2024</t>
        </is>
      </c>
      <c r="B444" s="1" t="n">
        <v>45609</v>
      </c>
      <c r="C444" s="1" t="n">
        <v>45964</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49073-2025</t>
        </is>
      </c>
      <c r="B445" s="1" t="n">
        <v>45937.65512731481</v>
      </c>
      <c r="C445" s="1" t="n">
        <v>45964</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48424-2025</t>
        </is>
      </c>
      <c r="B446" s="1" t="n">
        <v>45934.69131944444</v>
      </c>
      <c r="C446" s="1" t="n">
        <v>45964</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48678-2025</t>
        </is>
      </c>
      <c r="B447" s="1" t="n">
        <v>45936.59168981481</v>
      </c>
      <c r="C447" s="1" t="n">
        <v>45964</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30098-2024</t>
        </is>
      </c>
      <c r="B448" s="1" t="n">
        <v>45489.41609953704</v>
      </c>
      <c r="C448" s="1" t="n">
        <v>45964</v>
      </c>
      <c r="D448" t="inlineStr">
        <is>
          <t>UPPSALA LÄN</t>
        </is>
      </c>
      <c r="E448" t="inlineStr">
        <is>
          <t>ENKÖPING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59441-2020</t>
        </is>
      </c>
      <c r="B449" s="1" t="n">
        <v>44148</v>
      </c>
      <c r="C449" s="1" t="n">
        <v>45964</v>
      </c>
      <c r="D449" t="inlineStr">
        <is>
          <t>UPPSALA LÄN</t>
        </is>
      </c>
      <c r="E449" t="inlineStr">
        <is>
          <t>ENKÖPING</t>
        </is>
      </c>
      <c r="G449" t="n">
        <v>4.8</v>
      </c>
      <c r="H449" t="n">
        <v>0</v>
      </c>
      <c r="I449" t="n">
        <v>0</v>
      </c>
      <c r="J449" t="n">
        <v>0</v>
      </c>
      <c r="K449" t="n">
        <v>0</v>
      </c>
      <c r="L449" t="n">
        <v>0</v>
      </c>
      <c r="M449" t="n">
        <v>0</v>
      </c>
      <c r="N449" t="n">
        <v>0</v>
      </c>
      <c r="O449" t="n">
        <v>0</v>
      </c>
      <c r="P449" t="n">
        <v>0</v>
      </c>
      <c r="Q449" t="n">
        <v>0</v>
      </c>
      <c r="R449" s="2" t="inlineStr"/>
    </row>
    <row r="450" ht="15" customHeight="1">
      <c r="A450" t="inlineStr">
        <is>
          <t>A 34735-2023</t>
        </is>
      </c>
      <c r="B450" s="1" t="n">
        <v>45139</v>
      </c>
      <c r="C450" s="1" t="n">
        <v>45964</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49068-2025</t>
        </is>
      </c>
      <c r="B451" s="1" t="n">
        <v>45937.64766203704</v>
      </c>
      <c r="C451" s="1" t="n">
        <v>45964</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57328-2024</t>
        </is>
      </c>
      <c r="B452" s="1" t="n">
        <v>45629.62798611111</v>
      </c>
      <c r="C452" s="1" t="n">
        <v>45964</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39746-2025</t>
        </is>
      </c>
      <c r="B453" s="1" t="n">
        <v>45891</v>
      </c>
      <c r="C453" s="1" t="n">
        <v>45964</v>
      </c>
      <c r="D453" t="inlineStr">
        <is>
          <t>UPPSALA LÄN</t>
        </is>
      </c>
      <c r="E453" t="inlineStr">
        <is>
          <t>ENKÖPING</t>
        </is>
      </c>
      <c r="G453" t="n">
        <v>7.4</v>
      </c>
      <c r="H453" t="n">
        <v>0</v>
      </c>
      <c r="I453" t="n">
        <v>0</v>
      </c>
      <c r="J453" t="n">
        <v>0</v>
      </c>
      <c r="K453" t="n">
        <v>0</v>
      </c>
      <c r="L453" t="n">
        <v>0</v>
      </c>
      <c r="M453" t="n">
        <v>0</v>
      </c>
      <c r="N453" t="n">
        <v>0</v>
      </c>
      <c r="O453" t="n">
        <v>0</v>
      </c>
      <c r="P453" t="n">
        <v>0</v>
      </c>
      <c r="Q453" t="n">
        <v>0</v>
      </c>
      <c r="R453" s="2" t="inlineStr"/>
    </row>
    <row r="454" ht="15" customHeight="1">
      <c r="A454" t="inlineStr">
        <is>
          <t>A 48423-2025</t>
        </is>
      </c>
      <c r="B454" s="1" t="n">
        <v>45934.68024305555</v>
      </c>
      <c r="C454" s="1" t="n">
        <v>45964</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45964</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45964</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45964</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45964</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45964</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45964</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45964</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45964</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45964</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45964</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45964</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45964</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45964</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41616-2025</t>
        </is>
      </c>
      <c r="B468" s="1" t="n">
        <v>45901.69684027778</v>
      </c>
      <c r="C468" s="1" t="n">
        <v>45964</v>
      </c>
      <c r="D468" t="inlineStr">
        <is>
          <t>UPPSALA LÄN</t>
        </is>
      </c>
      <c r="E468" t="inlineStr">
        <is>
          <t>ENKÖPING</t>
        </is>
      </c>
      <c r="F468" t="inlineStr">
        <is>
          <t>Allmännings- och besparingsskogar</t>
        </is>
      </c>
      <c r="G468" t="n">
        <v>17.3</v>
      </c>
      <c r="H468" t="n">
        <v>0</v>
      </c>
      <c r="I468" t="n">
        <v>0</v>
      </c>
      <c r="J468" t="n">
        <v>0</v>
      </c>
      <c r="K468" t="n">
        <v>0</v>
      </c>
      <c r="L468" t="n">
        <v>0</v>
      </c>
      <c r="M468" t="n">
        <v>0</v>
      </c>
      <c r="N468" t="n">
        <v>0</v>
      </c>
      <c r="O468" t="n">
        <v>0</v>
      </c>
      <c r="P468" t="n">
        <v>0</v>
      </c>
      <c r="Q468" t="n">
        <v>0</v>
      </c>
      <c r="R468" s="2" t="inlineStr"/>
    </row>
    <row r="469" ht="15" customHeight="1">
      <c r="A469" t="inlineStr">
        <is>
          <t>A 33349-2024</t>
        </is>
      </c>
      <c r="B469" s="1" t="n">
        <v>45519</v>
      </c>
      <c r="C469" s="1" t="n">
        <v>45964</v>
      </c>
      <c r="D469" t="inlineStr">
        <is>
          <t>UPPSALA LÄN</t>
        </is>
      </c>
      <c r="E469" t="inlineStr">
        <is>
          <t>ENKÖPING</t>
        </is>
      </c>
      <c r="G469" t="n">
        <v>3.6</v>
      </c>
      <c r="H469" t="n">
        <v>0</v>
      </c>
      <c r="I469" t="n">
        <v>0</v>
      </c>
      <c r="J469" t="n">
        <v>0</v>
      </c>
      <c r="K469" t="n">
        <v>0</v>
      </c>
      <c r="L469" t="n">
        <v>0</v>
      </c>
      <c r="M469" t="n">
        <v>0</v>
      </c>
      <c r="N469" t="n">
        <v>0</v>
      </c>
      <c r="O469" t="n">
        <v>0</v>
      </c>
      <c r="P469" t="n">
        <v>0</v>
      </c>
      <c r="Q469" t="n">
        <v>0</v>
      </c>
      <c r="R469" s="2" t="inlineStr"/>
    </row>
    <row r="470" ht="15" customHeight="1">
      <c r="A470" t="inlineStr">
        <is>
          <t>A 41637-2025</t>
        </is>
      </c>
      <c r="B470" s="1" t="n">
        <v>45901</v>
      </c>
      <c r="C470" s="1" t="n">
        <v>45964</v>
      </c>
      <c r="D470" t="inlineStr">
        <is>
          <t>UPPSALA LÄN</t>
        </is>
      </c>
      <c r="E470" t="inlineStr">
        <is>
          <t>ENKÖPING</t>
        </is>
      </c>
      <c r="F470" t="inlineStr">
        <is>
          <t>Allmännings- och besparingsskogar</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41618-2025</t>
        </is>
      </c>
      <c r="B471" s="1" t="n">
        <v>45901.70085648148</v>
      </c>
      <c r="C471" s="1" t="n">
        <v>45964</v>
      </c>
      <c r="D471" t="inlineStr">
        <is>
          <t>UPPSALA LÄN</t>
        </is>
      </c>
      <c r="E471" t="inlineStr">
        <is>
          <t>ENKÖPING</t>
        </is>
      </c>
      <c r="F471" t="inlineStr">
        <is>
          <t>Allmännings- och besparingsskogar</t>
        </is>
      </c>
      <c r="G471" t="n">
        <v>5.3</v>
      </c>
      <c r="H471" t="n">
        <v>0</v>
      </c>
      <c r="I471" t="n">
        <v>0</v>
      </c>
      <c r="J471" t="n">
        <v>0</v>
      </c>
      <c r="K471" t="n">
        <v>0</v>
      </c>
      <c r="L471" t="n">
        <v>0</v>
      </c>
      <c r="M471" t="n">
        <v>0</v>
      </c>
      <c r="N471" t="n">
        <v>0</v>
      </c>
      <c r="O471" t="n">
        <v>0</v>
      </c>
      <c r="P471" t="n">
        <v>0</v>
      </c>
      <c r="Q471" t="n">
        <v>0</v>
      </c>
      <c r="R471" s="2" t="inlineStr"/>
    </row>
    <row r="472" ht="15" customHeight="1">
      <c r="A472" t="inlineStr">
        <is>
          <t>A 42029-2025</t>
        </is>
      </c>
      <c r="B472" s="1" t="n">
        <v>45903</v>
      </c>
      <c r="C472" s="1" t="n">
        <v>45964</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41765-2025</t>
        </is>
      </c>
      <c r="B473" s="1" t="n">
        <v>45902</v>
      </c>
      <c r="C473" s="1" t="n">
        <v>45964</v>
      </c>
      <c r="D473" t="inlineStr">
        <is>
          <t>UPPSALA LÄN</t>
        </is>
      </c>
      <c r="E473" t="inlineStr">
        <is>
          <t>ENKÖPING</t>
        </is>
      </c>
      <c r="G473" t="n">
        <v>2.7</v>
      </c>
      <c r="H473" t="n">
        <v>0</v>
      </c>
      <c r="I473" t="n">
        <v>0</v>
      </c>
      <c r="J473" t="n">
        <v>0</v>
      </c>
      <c r="K473" t="n">
        <v>0</v>
      </c>
      <c r="L473" t="n">
        <v>0</v>
      </c>
      <c r="M473" t="n">
        <v>0</v>
      </c>
      <c r="N473" t="n">
        <v>0</v>
      </c>
      <c r="O473" t="n">
        <v>0</v>
      </c>
      <c r="P473" t="n">
        <v>0</v>
      </c>
      <c r="Q473" t="n">
        <v>0</v>
      </c>
      <c r="R473" s="2" t="inlineStr"/>
    </row>
    <row r="474" ht="15" customHeight="1">
      <c r="A474" t="inlineStr">
        <is>
          <t>A 47516-2022</t>
        </is>
      </c>
      <c r="B474" s="1" t="n">
        <v>44853.68895833333</v>
      </c>
      <c r="C474" s="1" t="n">
        <v>45964</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51133-2025</t>
        </is>
      </c>
      <c r="B475" s="1" t="n">
        <v>45947.55598379629</v>
      </c>
      <c r="C475" s="1" t="n">
        <v>45964</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51162-2025</t>
        </is>
      </c>
      <c r="B476" s="1" t="n">
        <v>45947.58820601852</v>
      </c>
      <c r="C476" s="1" t="n">
        <v>45964</v>
      </c>
      <c r="D476" t="inlineStr">
        <is>
          <t>UPPSALA LÄN</t>
        </is>
      </c>
      <c r="E476" t="inlineStr">
        <is>
          <t>ENKÖPING</t>
        </is>
      </c>
      <c r="G476" t="n">
        <v>3.4</v>
      </c>
      <c r="H476" t="n">
        <v>0</v>
      </c>
      <c r="I476" t="n">
        <v>0</v>
      </c>
      <c r="J476" t="n">
        <v>0</v>
      </c>
      <c r="K476" t="n">
        <v>0</v>
      </c>
      <c r="L476" t="n">
        <v>0</v>
      </c>
      <c r="M476" t="n">
        <v>0</v>
      </c>
      <c r="N476" t="n">
        <v>0</v>
      </c>
      <c r="O476" t="n">
        <v>0</v>
      </c>
      <c r="P476" t="n">
        <v>0</v>
      </c>
      <c r="Q476" t="n">
        <v>0</v>
      </c>
      <c r="R476" s="2" t="inlineStr"/>
    </row>
    <row r="477" ht="15" customHeight="1">
      <c r="A477" t="inlineStr">
        <is>
          <t>A 41764-2025</t>
        </is>
      </c>
      <c r="B477" s="1" t="n">
        <v>45902</v>
      </c>
      <c r="C477" s="1" t="n">
        <v>45964</v>
      </c>
      <c r="D477" t="inlineStr">
        <is>
          <t>UPPSALA LÄN</t>
        </is>
      </c>
      <c r="E477" t="inlineStr">
        <is>
          <t>ENKÖPING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51042-2024</t>
        </is>
      </c>
      <c r="B478" s="1" t="n">
        <v>45603.4342824074</v>
      </c>
      <c r="C478" s="1" t="n">
        <v>45964</v>
      </c>
      <c r="D478" t="inlineStr">
        <is>
          <t>UPPSALA LÄN</t>
        </is>
      </c>
      <c r="E478" t="inlineStr">
        <is>
          <t>ENKÖPING</t>
        </is>
      </c>
      <c r="G478" t="n">
        <v>4.6</v>
      </c>
      <c r="H478" t="n">
        <v>0</v>
      </c>
      <c r="I478" t="n">
        <v>0</v>
      </c>
      <c r="J478" t="n">
        <v>0</v>
      </c>
      <c r="K478" t="n">
        <v>0</v>
      </c>
      <c r="L478" t="n">
        <v>0</v>
      </c>
      <c r="M478" t="n">
        <v>0</v>
      </c>
      <c r="N478" t="n">
        <v>0</v>
      </c>
      <c r="O478" t="n">
        <v>0</v>
      </c>
      <c r="P478" t="n">
        <v>0</v>
      </c>
      <c r="Q478" t="n">
        <v>0</v>
      </c>
      <c r="R478" s="2" t="inlineStr"/>
    </row>
    <row r="479" ht="15" customHeight="1">
      <c r="A479" t="inlineStr">
        <is>
          <t>A 51037-2024</t>
        </is>
      </c>
      <c r="B479" s="1" t="n">
        <v>45603.43005787037</v>
      </c>
      <c r="C479" s="1" t="n">
        <v>45964</v>
      </c>
      <c r="D479" t="inlineStr">
        <is>
          <t>UPPSALA LÄN</t>
        </is>
      </c>
      <c r="E479" t="inlineStr">
        <is>
          <t>ENKÖPING</t>
        </is>
      </c>
      <c r="G479" t="n">
        <v>5.7</v>
      </c>
      <c r="H479" t="n">
        <v>0</v>
      </c>
      <c r="I479" t="n">
        <v>0</v>
      </c>
      <c r="J479" t="n">
        <v>0</v>
      </c>
      <c r="K479" t="n">
        <v>0</v>
      </c>
      <c r="L479" t="n">
        <v>0</v>
      </c>
      <c r="M479" t="n">
        <v>0</v>
      </c>
      <c r="N479" t="n">
        <v>0</v>
      </c>
      <c r="O479" t="n">
        <v>0</v>
      </c>
      <c r="P479" t="n">
        <v>0</v>
      </c>
      <c r="Q479" t="n">
        <v>0</v>
      </c>
      <c r="R479" s="2" t="inlineStr"/>
    </row>
    <row r="480" ht="15" customHeight="1">
      <c r="A480" t="inlineStr">
        <is>
          <t>A 42756-2025</t>
        </is>
      </c>
      <c r="B480" s="1" t="n">
        <v>45908</v>
      </c>
      <c r="C480" s="1" t="n">
        <v>45964</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22632-2025</t>
        </is>
      </c>
      <c r="B481" s="1" t="n">
        <v>45789.44361111111</v>
      </c>
      <c r="C481" s="1" t="n">
        <v>45964</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43103-2025</t>
        </is>
      </c>
      <c r="B482" s="1" t="n">
        <v>45909</v>
      </c>
      <c r="C482" s="1" t="n">
        <v>45964</v>
      </c>
      <c r="D482" t="inlineStr">
        <is>
          <t>UPPSALA LÄN</t>
        </is>
      </c>
      <c r="E482" t="inlineStr">
        <is>
          <t>ENKÖPING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51027-2024</t>
        </is>
      </c>
      <c r="B483" s="1" t="n">
        <v>45603</v>
      </c>
      <c r="C483" s="1" t="n">
        <v>45964</v>
      </c>
      <c r="D483" t="inlineStr">
        <is>
          <t>UPPSALA LÄN</t>
        </is>
      </c>
      <c r="E483" t="inlineStr">
        <is>
          <t>ENKÖPING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43999-2025</t>
        </is>
      </c>
      <c r="B484" s="1" t="n">
        <v>45915.45158564814</v>
      </c>
      <c r="C484" s="1" t="n">
        <v>45964</v>
      </c>
      <c r="D484" t="inlineStr">
        <is>
          <t>UPPSALA LÄN</t>
        </is>
      </c>
      <c r="E484" t="inlineStr">
        <is>
          <t>ENKÖPING</t>
        </is>
      </c>
      <c r="G484" t="n">
        <v>4.1</v>
      </c>
      <c r="H484" t="n">
        <v>0</v>
      </c>
      <c r="I484" t="n">
        <v>0</v>
      </c>
      <c r="J484" t="n">
        <v>0</v>
      </c>
      <c r="K484" t="n">
        <v>0</v>
      </c>
      <c r="L484" t="n">
        <v>0</v>
      </c>
      <c r="M484" t="n">
        <v>0</v>
      </c>
      <c r="N484" t="n">
        <v>0</v>
      </c>
      <c r="O484" t="n">
        <v>0</v>
      </c>
      <c r="P484" t="n">
        <v>0</v>
      </c>
      <c r="Q484" t="n">
        <v>0</v>
      </c>
      <c r="R484" s="2" t="inlineStr"/>
    </row>
    <row r="485" ht="15" customHeight="1">
      <c r="A485" t="inlineStr">
        <is>
          <t>A 44419-2025</t>
        </is>
      </c>
      <c r="B485" s="1" t="n">
        <v>45916.54671296296</v>
      </c>
      <c r="C485" s="1" t="n">
        <v>45964</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row r="486">
      <c r="A486" t="inlineStr">
        <is>
          <t>A 32477-2025</t>
        </is>
      </c>
      <c r="B486" s="1" t="n">
        <v>45838.43098379629</v>
      </c>
      <c r="C486" s="1" t="n">
        <v>45964</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2025-11-03T10:01:23Z</dcterms:created>
  <dcterms:modified xmlns:dcterms="http://purl.org/dc/terms/" xmlns:xsi="http://www.w3.org/2001/XMLSchema-instance" xsi:type="dcterms:W3CDTF">2025-11-03T10:01:24Z</dcterms:modified>
</cp:coreProperties>
</file>