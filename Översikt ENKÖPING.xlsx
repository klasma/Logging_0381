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46094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46094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46094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46094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46094</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46094</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46094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46094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46094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46094</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46094</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46094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46094</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46094</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46094</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46094</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46094</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9147-2026</t>
        </is>
      </c>
      <c r="B19" s="1" t="n">
        <v>46070.30649305556</v>
      </c>
      <c r="C19" s="1" t="n">
        <v>46094</v>
      </c>
      <c r="D19" t="inlineStr">
        <is>
          <t>UPPSALA LÄN</t>
        </is>
      </c>
      <c r="E19" t="inlineStr">
        <is>
          <t>ENKÖPING</t>
        </is>
      </c>
      <c r="G19" t="n">
        <v>1.6</v>
      </c>
      <c r="H19" t="n">
        <v>0</v>
      </c>
      <c r="I19" t="n">
        <v>1</v>
      </c>
      <c r="J19" t="n">
        <v>1</v>
      </c>
      <c r="K19" t="n">
        <v>0</v>
      </c>
      <c r="L19" t="n">
        <v>0</v>
      </c>
      <c r="M19" t="n">
        <v>0</v>
      </c>
      <c r="N19" t="n">
        <v>0</v>
      </c>
      <c r="O19" t="n">
        <v>1</v>
      </c>
      <c r="P19" t="n">
        <v>0</v>
      </c>
      <c r="Q19" t="n">
        <v>2</v>
      </c>
      <c r="R19" s="2" t="inlineStr">
        <is>
          <t>Motaggsvamp
Dropptaggsvamp</t>
        </is>
      </c>
      <c r="S19">
        <f>HYPERLINK("https://klasma.github.io/Logging_0381/artfynd/A 9147-2026 artfynd.xlsx", "A 9147-2026")</f>
        <v/>
      </c>
      <c r="T19">
        <f>HYPERLINK("https://klasma.github.io/Logging_0381/kartor/A 9147-2026 karta.png", "A 9147-2026")</f>
        <v/>
      </c>
      <c r="V19">
        <f>HYPERLINK("https://klasma.github.io/Logging_0381/klagomål/A 9147-2026 FSC-klagomål.docx", "A 9147-2026")</f>
        <v/>
      </c>
      <c r="W19">
        <f>HYPERLINK("https://klasma.github.io/Logging_0381/klagomålsmail/A 9147-2026 FSC-klagomål mail.docx", "A 9147-2026")</f>
        <v/>
      </c>
      <c r="X19">
        <f>HYPERLINK("https://klasma.github.io/Logging_0381/tillsyn/A 9147-2026 tillsynsbegäran.docx", "A 9147-2026")</f>
        <v/>
      </c>
      <c r="Y19">
        <f>HYPERLINK("https://klasma.github.io/Logging_0381/tillsynsmail/A 9147-2026 tillsynsbegäran mail.docx", "A 9147-2026")</f>
        <v/>
      </c>
    </row>
    <row r="20" ht="15" customHeight="1">
      <c r="A20" t="inlineStr">
        <is>
          <t>A 36523-2021</t>
        </is>
      </c>
      <c r="B20" s="1" t="n">
        <v>44391</v>
      </c>
      <c r="C20" s="1" t="n">
        <v>46094</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46094</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46094</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28900-2024</t>
        </is>
      </c>
      <c r="B23" s="1" t="n">
        <v>45480</v>
      </c>
      <c r="C23" s="1" t="n">
        <v>46094</v>
      </c>
      <c r="D23" t="inlineStr">
        <is>
          <t>UPPSALA LÄN</t>
        </is>
      </c>
      <c r="E23" t="inlineStr">
        <is>
          <t>ENKÖPING</t>
        </is>
      </c>
      <c r="G23" t="n">
        <v>8.6</v>
      </c>
      <c r="H23" t="n">
        <v>1</v>
      </c>
      <c r="I23" t="n">
        <v>0</v>
      </c>
      <c r="J23" t="n">
        <v>0</v>
      </c>
      <c r="K23" t="n">
        <v>0</v>
      </c>
      <c r="L23" t="n">
        <v>0</v>
      </c>
      <c r="M23" t="n">
        <v>0</v>
      </c>
      <c r="N23" t="n">
        <v>0</v>
      </c>
      <c r="O23" t="n">
        <v>0</v>
      </c>
      <c r="P23" t="n">
        <v>0</v>
      </c>
      <c r="Q23" t="n">
        <v>1</v>
      </c>
      <c r="R23" s="2" t="inlineStr">
        <is>
          <t>Blåsippa</t>
        </is>
      </c>
      <c r="S23">
        <f>HYPERLINK("https://klasma.github.io/Logging_0381/artfynd/A 28900-2024 artfynd.xlsx", "A 28900-2024")</f>
        <v/>
      </c>
      <c r="T23">
        <f>HYPERLINK("https://klasma.github.io/Logging_0381/kartor/A 28900-2024 karta.png", "A 28900-2024")</f>
        <v/>
      </c>
      <c r="V23">
        <f>HYPERLINK("https://klasma.github.io/Logging_0381/klagomål/A 28900-2024 FSC-klagomål.docx", "A 28900-2024")</f>
        <v/>
      </c>
      <c r="W23">
        <f>HYPERLINK("https://klasma.github.io/Logging_0381/klagomålsmail/A 28900-2024 FSC-klagomål mail.docx", "A 28900-2024")</f>
        <v/>
      </c>
      <c r="X23">
        <f>HYPERLINK("https://klasma.github.io/Logging_0381/tillsyn/A 28900-2024 tillsynsbegäran.docx", "A 28900-2024")</f>
        <v/>
      </c>
      <c r="Y23">
        <f>HYPERLINK("https://klasma.github.io/Logging_0381/tillsynsmail/A 28900-2024 tillsynsbegäran mail.docx", "A 28900-2024")</f>
        <v/>
      </c>
    </row>
    <row r="24" ht="15" customHeight="1">
      <c r="A24" t="inlineStr">
        <is>
          <t>A 46749-2024</t>
        </is>
      </c>
      <c r="B24" s="1" t="n">
        <v>45583.48347222222</v>
      </c>
      <c r="C24" s="1" t="n">
        <v>46094</v>
      </c>
      <c r="D24" t="inlineStr">
        <is>
          <t>UPPSALA LÄN</t>
        </is>
      </c>
      <c r="E24" t="inlineStr">
        <is>
          <t>ENKÖPING</t>
        </is>
      </c>
      <c r="G24" t="n">
        <v>8.5</v>
      </c>
      <c r="H24" t="n">
        <v>0</v>
      </c>
      <c r="I24" t="n">
        <v>0</v>
      </c>
      <c r="J24" t="n">
        <v>1</v>
      </c>
      <c r="K24" t="n">
        <v>0</v>
      </c>
      <c r="L24" t="n">
        <v>0</v>
      </c>
      <c r="M24" t="n">
        <v>0</v>
      </c>
      <c r="N24" t="n">
        <v>0</v>
      </c>
      <c r="O24" t="n">
        <v>1</v>
      </c>
      <c r="P24" t="n">
        <v>0</v>
      </c>
      <c r="Q24" t="n">
        <v>1</v>
      </c>
      <c r="R24" s="2" t="inlineStr">
        <is>
          <t>Tallkötticka</t>
        </is>
      </c>
      <c r="S24">
        <f>HYPERLINK("https://klasma.github.io/Logging_0381/artfynd/A 46749-2024 artfynd.xlsx", "A 46749-2024")</f>
        <v/>
      </c>
      <c r="T24">
        <f>HYPERLINK("https://klasma.github.io/Logging_0381/kartor/A 46749-2024 karta.png", "A 46749-2024")</f>
        <v/>
      </c>
      <c r="V24">
        <f>HYPERLINK("https://klasma.github.io/Logging_0381/klagomål/A 46749-2024 FSC-klagomål.docx", "A 46749-2024")</f>
        <v/>
      </c>
      <c r="W24">
        <f>HYPERLINK("https://klasma.github.io/Logging_0381/klagomålsmail/A 46749-2024 FSC-klagomål mail.docx", "A 46749-2024")</f>
        <v/>
      </c>
      <c r="X24">
        <f>HYPERLINK("https://klasma.github.io/Logging_0381/tillsyn/A 46749-2024 tillsynsbegäran.docx", "A 46749-2024")</f>
        <v/>
      </c>
      <c r="Y24">
        <f>HYPERLINK("https://klasma.github.io/Logging_0381/tillsynsmail/A 46749-2024 tillsynsbegäran mail.docx", "A 46749-2024")</f>
        <v/>
      </c>
    </row>
    <row r="25" ht="15" customHeight="1">
      <c r="A25" t="inlineStr">
        <is>
          <t>A 17942-2024</t>
        </is>
      </c>
      <c r="B25" s="1" t="n">
        <v>45419</v>
      </c>
      <c r="C25" s="1" t="n">
        <v>46094</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45116-2023</t>
        </is>
      </c>
      <c r="B26" s="1" t="n">
        <v>45191</v>
      </c>
      <c r="C26" s="1" t="n">
        <v>46094</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26347-2025</t>
        </is>
      </c>
      <c r="B27" s="1" t="n">
        <v>45805.7403125</v>
      </c>
      <c r="C27" s="1" t="n">
        <v>46094</v>
      </c>
      <c r="D27" t="inlineStr">
        <is>
          <t>UPPSALA LÄN</t>
        </is>
      </c>
      <c r="E27" t="inlineStr">
        <is>
          <t>ENKÖPING</t>
        </is>
      </c>
      <c r="G27" t="n">
        <v>7.3</v>
      </c>
      <c r="H27" t="n">
        <v>1</v>
      </c>
      <c r="I27" t="n">
        <v>0</v>
      </c>
      <c r="J27" t="n">
        <v>0</v>
      </c>
      <c r="K27" t="n">
        <v>1</v>
      </c>
      <c r="L27" t="n">
        <v>0</v>
      </c>
      <c r="M27" t="n">
        <v>0</v>
      </c>
      <c r="N27" t="n">
        <v>0</v>
      </c>
      <c r="O27" t="n">
        <v>1</v>
      </c>
      <c r="P27" t="n">
        <v>1</v>
      </c>
      <c r="Q27" t="n">
        <v>1</v>
      </c>
      <c r="R27" s="2" t="inlineStr">
        <is>
          <t>Tofsvipa</t>
        </is>
      </c>
      <c r="S27">
        <f>HYPERLINK("https://klasma.github.io/Logging_0381/artfynd/A 26347-2025 artfynd.xlsx", "A 26347-2025")</f>
        <v/>
      </c>
      <c r="T27">
        <f>HYPERLINK("https://klasma.github.io/Logging_0381/kartor/A 26347-2025 karta.png", "A 26347-2025")</f>
        <v/>
      </c>
      <c r="V27">
        <f>HYPERLINK("https://klasma.github.io/Logging_0381/klagomål/A 26347-2025 FSC-klagomål.docx", "A 26347-2025")</f>
        <v/>
      </c>
      <c r="W27">
        <f>HYPERLINK("https://klasma.github.io/Logging_0381/klagomålsmail/A 26347-2025 FSC-klagomål mail.docx", "A 26347-2025")</f>
        <v/>
      </c>
      <c r="X27">
        <f>HYPERLINK("https://klasma.github.io/Logging_0381/tillsyn/A 26347-2025 tillsynsbegäran.docx", "A 26347-2025")</f>
        <v/>
      </c>
      <c r="Y27">
        <f>HYPERLINK("https://klasma.github.io/Logging_0381/tillsynsmail/A 26347-2025 tillsynsbegäran mail.docx", "A 26347-2025")</f>
        <v/>
      </c>
    </row>
    <row r="28" ht="15" customHeight="1">
      <c r="A28" t="inlineStr">
        <is>
          <t>A 27060-2025</t>
        </is>
      </c>
      <c r="B28" s="1" t="n">
        <v>45811.63590277778</v>
      </c>
      <c r="C28" s="1" t="n">
        <v>46094</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1524-2023</t>
        </is>
      </c>
      <c r="B29" s="1" t="n">
        <v>44935</v>
      </c>
      <c r="C29" s="1" t="n">
        <v>46094</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23961-2022</t>
        </is>
      </c>
      <c r="B30" s="1" t="n">
        <v>44722</v>
      </c>
      <c r="C30" s="1" t="n">
        <v>46094</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Blåsippa</t>
        </is>
      </c>
      <c r="S30">
        <f>HYPERLINK("https://klasma.github.io/Logging_0381/artfynd/A 23961-2022 artfynd.xlsx", "A 23961-2022")</f>
        <v/>
      </c>
      <c r="T30">
        <f>HYPERLINK("https://klasma.github.io/Logging_0381/kartor/A 23961-2022 karta.png", "A 23961-2022")</f>
        <v/>
      </c>
      <c r="V30">
        <f>HYPERLINK("https://klasma.github.io/Logging_0381/klagomål/A 23961-2022 FSC-klagomål.docx", "A 23961-2022")</f>
        <v/>
      </c>
      <c r="W30">
        <f>HYPERLINK("https://klasma.github.io/Logging_0381/klagomålsmail/A 23961-2022 FSC-klagomål mail.docx", "A 23961-2022")</f>
        <v/>
      </c>
      <c r="X30">
        <f>HYPERLINK("https://klasma.github.io/Logging_0381/tillsyn/A 23961-2022 tillsynsbegäran.docx", "A 23961-2022")</f>
        <v/>
      </c>
      <c r="Y30">
        <f>HYPERLINK("https://klasma.github.io/Logging_0381/tillsynsmail/A 23961-2022 tillsynsbegäran mail.docx", "A 23961-2022")</f>
        <v/>
      </c>
    </row>
    <row r="31" ht="15" customHeight="1">
      <c r="A31" t="inlineStr">
        <is>
          <t>A 33339-2024</t>
        </is>
      </c>
      <c r="B31" s="1" t="n">
        <v>45519</v>
      </c>
      <c r="C31" s="1" t="n">
        <v>46094</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29510-2025</t>
        </is>
      </c>
      <c r="B32" s="1" t="n">
        <v>45825</v>
      </c>
      <c r="C32" s="1" t="n">
        <v>46094</v>
      </c>
      <c r="D32" t="inlineStr">
        <is>
          <t>UPPSALA LÄN</t>
        </is>
      </c>
      <c r="E32" t="inlineStr">
        <is>
          <t>ENKÖPING</t>
        </is>
      </c>
      <c r="G32" t="n">
        <v>2.4</v>
      </c>
      <c r="H32" t="n">
        <v>0</v>
      </c>
      <c r="I32" t="n">
        <v>0</v>
      </c>
      <c r="J32" t="n">
        <v>0</v>
      </c>
      <c r="K32" t="n">
        <v>1</v>
      </c>
      <c r="L32" t="n">
        <v>0</v>
      </c>
      <c r="M32" t="n">
        <v>0</v>
      </c>
      <c r="N32" t="n">
        <v>0</v>
      </c>
      <c r="O32" t="n">
        <v>1</v>
      </c>
      <c r="P32" t="n">
        <v>1</v>
      </c>
      <c r="Q32" t="n">
        <v>1</v>
      </c>
      <c r="R32" s="2" t="inlineStr">
        <is>
          <t>Toppjungfrulin</t>
        </is>
      </c>
      <c r="S32">
        <f>HYPERLINK("https://klasma.github.io/Logging_0381/artfynd/A 29510-2025 artfynd.xlsx", "A 29510-2025")</f>
        <v/>
      </c>
      <c r="T32">
        <f>HYPERLINK("https://klasma.github.io/Logging_0381/kartor/A 29510-2025 karta.png", "A 29510-2025")</f>
        <v/>
      </c>
      <c r="V32">
        <f>HYPERLINK("https://klasma.github.io/Logging_0381/klagomål/A 29510-2025 FSC-klagomål.docx", "A 29510-2025")</f>
        <v/>
      </c>
      <c r="W32">
        <f>HYPERLINK("https://klasma.github.io/Logging_0381/klagomålsmail/A 29510-2025 FSC-klagomål mail.docx", "A 29510-2025")</f>
        <v/>
      </c>
      <c r="X32">
        <f>HYPERLINK("https://klasma.github.io/Logging_0381/tillsyn/A 29510-2025 tillsynsbegäran.docx", "A 29510-2025")</f>
        <v/>
      </c>
      <c r="Y32">
        <f>HYPERLINK("https://klasma.github.io/Logging_0381/tillsynsmail/A 29510-2025 tillsynsbegäran mail.docx", "A 29510-2025")</f>
        <v/>
      </c>
    </row>
    <row r="33" ht="15" customHeight="1">
      <c r="A33" t="inlineStr">
        <is>
          <t>A 52439-2025</t>
        </is>
      </c>
      <c r="B33" s="1" t="n">
        <v>45954.40697916667</v>
      </c>
      <c r="C33" s="1" t="n">
        <v>46094</v>
      </c>
      <c r="D33" t="inlineStr">
        <is>
          <t>UPPSALA LÄN</t>
        </is>
      </c>
      <c r="E33" t="inlineStr">
        <is>
          <t>ENKÖPING</t>
        </is>
      </c>
      <c r="F33" t="inlineStr">
        <is>
          <t>Allmännings- och besparingsskogar</t>
        </is>
      </c>
      <c r="G33" t="n">
        <v>2.2</v>
      </c>
      <c r="H33" t="n">
        <v>0</v>
      </c>
      <c r="I33" t="n">
        <v>0</v>
      </c>
      <c r="J33" t="n">
        <v>1</v>
      </c>
      <c r="K33" t="n">
        <v>0</v>
      </c>
      <c r="L33" t="n">
        <v>0</v>
      </c>
      <c r="M33" t="n">
        <v>0</v>
      </c>
      <c r="N33" t="n">
        <v>0</v>
      </c>
      <c r="O33" t="n">
        <v>1</v>
      </c>
      <c r="P33" t="n">
        <v>0</v>
      </c>
      <c r="Q33" t="n">
        <v>1</v>
      </c>
      <c r="R33" s="2" t="inlineStr">
        <is>
          <t>Igelkott</t>
        </is>
      </c>
      <c r="S33">
        <f>HYPERLINK("https://klasma.github.io/Logging_0381/artfynd/A 52439-2025 artfynd.xlsx", "A 52439-2025")</f>
        <v/>
      </c>
      <c r="T33">
        <f>HYPERLINK("https://klasma.github.io/Logging_0381/kartor/A 52439-2025 karta.png", "A 52439-2025")</f>
        <v/>
      </c>
      <c r="V33">
        <f>HYPERLINK("https://klasma.github.io/Logging_0381/klagomål/A 52439-2025 FSC-klagomål.docx", "A 52439-2025")</f>
        <v/>
      </c>
      <c r="W33">
        <f>HYPERLINK("https://klasma.github.io/Logging_0381/klagomålsmail/A 52439-2025 FSC-klagomål mail.docx", "A 52439-2025")</f>
        <v/>
      </c>
      <c r="X33">
        <f>HYPERLINK("https://klasma.github.io/Logging_0381/tillsyn/A 52439-2025 tillsynsbegäran.docx", "A 52439-2025")</f>
        <v/>
      </c>
      <c r="Y33">
        <f>HYPERLINK("https://klasma.github.io/Logging_0381/tillsynsmail/A 52439-2025 tillsynsbegäran mail.docx", "A 52439-2025")</f>
        <v/>
      </c>
    </row>
    <row r="34" ht="15" customHeight="1">
      <c r="A34" t="inlineStr">
        <is>
          <t>A 4166-2026</t>
        </is>
      </c>
      <c r="B34" s="1" t="n">
        <v>46044.66402777778</v>
      </c>
      <c r="C34" s="1" t="n">
        <v>46094</v>
      </c>
      <c r="D34" t="inlineStr">
        <is>
          <t>UPPSALA LÄN</t>
        </is>
      </c>
      <c r="E34" t="inlineStr">
        <is>
          <t>ENKÖPING</t>
        </is>
      </c>
      <c r="G34" t="n">
        <v>1.7</v>
      </c>
      <c r="H34" t="n">
        <v>1</v>
      </c>
      <c r="I34" t="n">
        <v>0</v>
      </c>
      <c r="J34" t="n">
        <v>1</v>
      </c>
      <c r="K34" t="n">
        <v>0</v>
      </c>
      <c r="L34" t="n">
        <v>0</v>
      </c>
      <c r="M34" t="n">
        <v>0</v>
      </c>
      <c r="N34" t="n">
        <v>0</v>
      </c>
      <c r="O34" t="n">
        <v>1</v>
      </c>
      <c r="P34" t="n">
        <v>0</v>
      </c>
      <c r="Q34" t="n">
        <v>1</v>
      </c>
      <c r="R34" s="2" t="inlineStr">
        <is>
          <t>Gulsparv</t>
        </is>
      </c>
      <c r="S34">
        <f>HYPERLINK("https://klasma.github.io/Logging_0381/artfynd/A 4166-2026 artfynd.xlsx", "A 4166-2026")</f>
        <v/>
      </c>
      <c r="T34">
        <f>HYPERLINK("https://klasma.github.io/Logging_0381/kartor/A 4166-2026 karta.png", "A 4166-2026")</f>
        <v/>
      </c>
      <c r="V34">
        <f>HYPERLINK("https://klasma.github.io/Logging_0381/klagomål/A 4166-2026 FSC-klagomål.docx", "A 4166-2026")</f>
        <v/>
      </c>
      <c r="W34">
        <f>HYPERLINK("https://klasma.github.io/Logging_0381/klagomålsmail/A 4166-2026 FSC-klagomål mail.docx", "A 4166-2026")</f>
        <v/>
      </c>
      <c r="X34">
        <f>HYPERLINK("https://klasma.github.io/Logging_0381/tillsyn/A 4166-2026 tillsynsbegäran.docx", "A 4166-2026")</f>
        <v/>
      </c>
      <c r="Y34">
        <f>HYPERLINK("https://klasma.github.io/Logging_0381/tillsynsmail/A 4166-2026 tillsynsbegäran mail.docx", "A 4166-2026")</f>
        <v/>
      </c>
      <c r="Z34">
        <f>HYPERLINK("https://klasma.github.io/Logging_0381/fåglar/A 4166-2026 prioriterade fågelarter.docx", "A 4166-2026")</f>
        <v/>
      </c>
    </row>
    <row r="35" ht="15" customHeight="1">
      <c r="A35" t="inlineStr">
        <is>
          <t>A 16683-2021</t>
        </is>
      </c>
      <c r="B35" s="1" t="n">
        <v>44294.58495370371</v>
      </c>
      <c r="C35" s="1" t="n">
        <v>46094</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46094</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46094</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46094</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46094</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46094</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46094</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46094</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46094</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46094</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46094</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46094</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46094</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46094</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46094</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46094</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46094</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46094</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46094</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46094</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22058-2021</t>
        </is>
      </c>
      <c r="B55" s="1" t="n">
        <v>44323</v>
      </c>
      <c r="C55" s="1" t="n">
        <v>46094</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46094</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46094</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46094</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46094</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46094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46094</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46094</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46094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46094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46094</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46094</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46094</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38005-2022</t>
        </is>
      </c>
      <c r="B68" s="1" t="n">
        <v>44810</v>
      </c>
      <c r="C68" s="1" t="n">
        <v>46094</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46094</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46094</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46094</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46094</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46094</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46094</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46094</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46094</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46094</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46094</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46094</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12538-2021</t>
        </is>
      </c>
      <c r="B80" s="1" t="n">
        <v>44269</v>
      </c>
      <c r="C80" s="1" t="n">
        <v>46094</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14839-2021</t>
        </is>
      </c>
      <c r="B81" s="1" t="n">
        <v>44280</v>
      </c>
      <c r="C81" s="1" t="n">
        <v>46094</v>
      </c>
      <c r="D81" t="inlineStr">
        <is>
          <t>UPPSALA LÄN</t>
        </is>
      </c>
      <c r="E81" t="inlineStr">
        <is>
          <t>ENKÖPING</t>
        </is>
      </c>
      <c r="G81" t="n">
        <v>11.4</v>
      </c>
      <c r="H81" t="n">
        <v>0</v>
      </c>
      <c r="I81" t="n">
        <v>0</v>
      </c>
      <c r="J81" t="n">
        <v>0</v>
      </c>
      <c r="K81" t="n">
        <v>0</v>
      </c>
      <c r="L81" t="n">
        <v>0</v>
      </c>
      <c r="M81" t="n">
        <v>0</v>
      </c>
      <c r="N81" t="n">
        <v>0</v>
      </c>
      <c r="O81" t="n">
        <v>0</v>
      </c>
      <c r="P81" t="n">
        <v>0</v>
      </c>
      <c r="Q81" t="n">
        <v>0</v>
      </c>
      <c r="R81" s="2" t="inlineStr"/>
    </row>
    <row r="82" ht="15" customHeight="1">
      <c r="A82" t="inlineStr">
        <is>
          <t>A 28795-2021</t>
        </is>
      </c>
      <c r="B82" s="1" t="n">
        <v>44357</v>
      </c>
      <c r="C82" s="1" t="n">
        <v>46094</v>
      </c>
      <c r="D82" t="inlineStr">
        <is>
          <t>UPPSALA LÄN</t>
        </is>
      </c>
      <c r="E82" t="inlineStr">
        <is>
          <t>ENKÖPING</t>
        </is>
      </c>
      <c r="F82" t="inlineStr">
        <is>
          <t>Allmännings- och besparingsskogar</t>
        </is>
      </c>
      <c r="G82" t="n">
        <v>2.8</v>
      </c>
      <c r="H82" t="n">
        <v>0</v>
      </c>
      <c r="I82" t="n">
        <v>0</v>
      </c>
      <c r="J82" t="n">
        <v>0</v>
      </c>
      <c r="K82" t="n">
        <v>0</v>
      </c>
      <c r="L82" t="n">
        <v>0</v>
      </c>
      <c r="M82" t="n">
        <v>0</v>
      </c>
      <c r="N82" t="n">
        <v>0</v>
      </c>
      <c r="O82" t="n">
        <v>0</v>
      </c>
      <c r="P82" t="n">
        <v>0</v>
      </c>
      <c r="Q82" t="n">
        <v>0</v>
      </c>
      <c r="R82" s="2" t="inlineStr"/>
    </row>
    <row r="83" ht="15" customHeight="1">
      <c r="A83" t="inlineStr">
        <is>
          <t>A 15997-2021</t>
        </is>
      </c>
      <c r="B83" s="1" t="n">
        <v>44287</v>
      </c>
      <c r="C83" s="1" t="n">
        <v>46094</v>
      </c>
      <c r="D83" t="inlineStr">
        <is>
          <t>UPPSALA LÄN</t>
        </is>
      </c>
      <c r="E83" t="inlineStr">
        <is>
          <t>ENKÖPING</t>
        </is>
      </c>
      <c r="G83" t="n">
        <v>1.2</v>
      </c>
      <c r="H83" t="n">
        <v>0</v>
      </c>
      <c r="I83" t="n">
        <v>0</v>
      </c>
      <c r="J83" t="n">
        <v>0</v>
      </c>
      <c r="K83" t="n">
        <v>0</v>
      </c>
      <c r="L83" t="n">
        <v>0</v>
      </c>
      <c r="M83" t="n">
        <v>0</v>
      </c>
      <c r="N83" t="n">
        <v>0</v>
      </c>
      <c r="O83" t="n">
        <v>0</v>
      </c>
      <c r="P83" t="n">
        <v>0</v>
      </c>
      <c r="Q83" t="n">
        <v>0</v>
      </c>
      <c r="R83" s="2" t="inlineStr"/>
    </row>
    <row r="84" ht="15" customHeight="1">
      <c r="A84" t="inlineStr">
        <is>
          <t>A 68107-2021</t>
        </is>
      </c>
      <c r="B84" s="1" t="n">
        <v>44526</v>
      </c>
      <c r="C84" s="1" t="n">
        <v>46094</v>
      </c>
      <c r="D84" t="inlineStr">
        <is>
          <t>UPPSALA LÄN</t>
        </is>
      </c>
      <c r="E84" t="inlineStr">
        <is>
          <t>ENKÖPING</t>
        </is>
      </c>
      <c r="G84" t="n">
        <v>0.8</v>
      </c>
      <c r="H84" t="n">
        <v>0</v>
      </c>
      <c r="I84" t="n">
        <v>0</v>
      </c>
      <c r="J84" t="n">
        <v>0</v>
      </c>
      <c r="K84" t="n">
        <v>0</v>
      </c>
      <c r="L84" t="n">
        <v>0</v>
      </c>
      <c r="M84" t="n">
        <v>0</v>
      </c>
      <c r="N84" t="n">
        <v>0</v>
      </c>
      <c r="O84" t="n">
        <v>0</v>
      </c>
      <c r="P84" t="n">
        <v>0</v>
      </c>
      <c r="Q84" t="n">
        <v>0</v>
      </c>
      <c r="R84" s="2" t="inlineStr"/>
    </row>
    <row r="85" ht="15" customHeight="1">
      <c r="A85" t="inlineStr">
        <is>
          <t>A 69791-2021</t>
        </is>
      </c>
      <c r="B85" s="1" t="n">
        <v>44532</v>
      </c>
      <c r="C85" s="1" t="n">
        <v>46094</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49375-2021</t>
        </is>
      </c>
      <c r="B86" s="1" t="n">
        <v>44454</v>
      </c>
      <c r="C86" s="1" t="n">
        <v>46094</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24883-2022</t>
        </is>
      </c>
      <c r="B87" s="1" t="n">
        <v>44728</v>
      </c>
      <c r="C87" s="1" t="n">
        <v>46094</v>
      </c>
      <c r="D87" t="inlineStr">
        <is>
          <t>UPPSALA LÄN</t>
        </is>
      </c>
      <c r="E87" t="inlineStr">
        <is>
          <t>ENKÖPING</t>
        </is>
      </c>
      <c r="G87" t="n">
        <v>2.5</v>
      </c>
      <c r="H87" t="n">
        <v>0</v>
      </c>
      <c r="I87" t="n">
        <v>0</v>
      </c>
      <c r="J87" t="n">
        <v>0</v>
      </c>
      <c r="K87" t="n">
        <v>0</v>
      </c>
      <c r="L87" t="n">
        <v>0</v>
      </c>
      <c r="M87" t="n">
        <v>0</v>
      </c>
      <c r="N87" t="n">
        <v>0</v>
      </c>
      <c r="O87" t="n">
        <v>0</v>
      </c>
      <c r="P87" t="n">
        <v>0</v>
      </c>
      <c r="Q87" t="n">
        <v>0</v>
      </c>
      <c r="R87" s="2" t="inlineStr"/>
    </row>
    <row r="88" ht="15" customHeight="1">
      <c r="A88" t="inlineStr">
        <is>
          <t>A 20067-2021</t>
        </is>
      </c>
      <c r="B88" s="1" t="n">
        <v>44314</v>
      </c>
      <c r="C88" s="1" t="n">
        <v>46094</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19630-2021</t>
        </is>
      </c>
      <c r="B89" s="1" t="n">
        <v>44312.61876157407</v>
      </c>
      <c r="C89" s="1" t="n">
        <v>46094</v>
      </c>
      <c r="D89" t="inlineStr">
        <is>
          <t>UPPSALA LÄN</t>
        </is>
      </c>
      <c r="E89" t="inlineStr">
        <is>
          <t>ENKÖPING</t>
        </is>
      </c>
      <c r="G89" t="n">
        <v>2.7</v>
      </c>
      <c r="H89" t="n">
        <v>0</v>
      </c>
      <c r="I89" t="n">
        <v>0</v>
      </c>
      <c r="J89" t="n">
        <v>0</v>
      </c>
      <c r="K89" t="n">
        <v>0</v>
      </c>
      <c r="L89" t="n">
        <v>0</v>
      </c>
      <c r="M89" t="n">
        <v>0</v>
      </c>
      <c r="N89" t="n">
        <v>0</v>
      </c>
      <c r="O89" t="n">
        <v>0</v>
      </c>
      <c r="P89" t="n">
        <v>0</v>
      </c>
      <c r="Q89" t="n">
        <v>0</v>
      </c>
      <c r="R89" s="2" t="inlineStr"/>
    </row>
    <row r="90" ht="15" customHeight="1">
      <c r="A90" t="inlineStr">
        <is>
          <t>A 15924-2022</t>
        </is>
      </c>
      <c r="B90" s="1" t="n">
        <v>44664</v>
      </c>
      <c r="C90" s="1" t="n">
        <v>46094</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15943-2022</t>
        </is>
      </c>
      <c r="B91" s="1" t="n">
        <v>44664.66428240741</v>
      </c>
      <c r="C91" s="1" t="n">
        <v>46094</v>
      </c>
      <c r="D91" t="inlineStr">
        <is>
          <t>UPPSALA LÄN</t>
        </is>
      </c>
      <c r="E91" t="inlineStr">
        <is>
          <t>ENKÖPING</t>
        </is>
      </c>
      <c r="G91" t="n">
        <v>0.6</v>
      </c>
      <c r="H91" t="n">
        <v>0</v>
      </c>
      <c r="I91" t="n">
        <v>0</v>
      </c>
      <c r="J91" t="n">
        <v>0</v>
      </c>
      <c r="K91" t="n">
        <v>0</v>
      </c>
      <c r="L91" t="n">
        <v>0</v>
      </c>
      <c r="M91" t="n">
        <v>0</v>
      </c>
      <c r="N91" t="n">
        <v>0</v>
      </c>
      <c r="O91" t="n">
        <v>0</v>
      </c>
      <c r="P91" t="n">
        <v>0</v>
      </c>
      <c r="Q91" t="n">
        <v>0</v>
      </c>
      <c r="R91" s="2" t="inlineStr"/>
    </row>
    <row r="92" ht="15" customHeight="1">
      <c r="A92" t="inlineStr">
        <is>
          <t>A 47106-2021</t>
        </is>
      </c>
      <c r="B92" s="1" t="n">
        <v>44446</v>
      </c>
      <c r="C92" s="1" t="n">
        <v>46094</v>
      </c>
      <c r="D92" t="inlineStr">
        <is>
          <t>UPPSALA LÄN</t>
        </is>
      </c>
      <c r="E92" t="inlineStr">
        <is>
          <t>ENKÖPING</t>
        </is>
      </c>
      <c r="G92" t="n">
        <v>7.6</v>
      </c>
      <c r="H92" t="n">
        <v>0</v>
      </c>
      <c r="I92" t="n">
        <v>0</v>
      </c>
      <c r="J92" t="n">
        <v>0</v>
      </c>
      <c r="K92" t="n">
        <v>0</v>
      </c>
      <c r="L92" t="n">
        <v>0</v>
      </c>
      <c r="M92" t="n">
        <v>0</v>
      </c>
      <c r="N92" t="n">
        <v>0</v>
      </c>
      <c r="O92" t="n">
        <v>0</v>
      </c>
      <c r="P92" t="n">
        <v>0</v>
      </c>
      <c r="Q92" t="n">
        <v>0</v>
      </c>
      <c r="R92" s="2" t="inlineStr"/>
    </row>
    <row r="93" ht="15" customHeight="1">
      <c r="A93" t="inlineStr">
        <is>
          <t>A 19731-2022</t>
        </is>
      </c>
      <c r="B93" s="1" t="n">
        <v>44694</v>
      </c>
      <c r="C93" s="1" t="n">
        <v>46094</v>
      </c>
      <c r="D93" t="inlineStr">
        <is>
          <t>UPPSALA LÄN</t>
        </is>
      </c>
      <c r="E93" t="inlineStr">
        <is>
          <t>ENKÖPING</t>
        </is>
      </c>
      <c r="G93" t="n">
        <v>0.7</v>
      </c>
      <c r="H93" t="n">
        <v>0</v>
      </c>
      <c r="I93" t="n">
        <v>0</v>
      </c>
      <c r="J93" t="n">
        <v>0</v>
      </c>
      <c r="K93" t="n">
        <v>0</v>
      </c>
      <c r="L93" t="n">
        <v>0</v>
      </c>
      <c r="M93" t="n">
        <v>0</v>
      </c>
      <c r="N93" t="n">
        <v>0</v>
      </c>
      <c r="O93" t="n">
        <v>0</v>
      </c>
      <c r="P93" t="n">
        <v>0</v>
      </c>
      <c r="Q93" t="n">
        <v>0</v>
      </c>
      <c r="R93" s="2" t="inlineStr"/>
    </row>
    <row r="94" ht="15" customHeight="1">
      <c r="A94" t="inlineStr">
        <is>
          <t>A 59121-2021</t>
        </is>
      </c>
      <c r="B94" s="1" t="n">
        <v>44490</v>
      </c>
      <c r="C94" s="1" t="n">
        <v>46094</v>
      </c>
      <c r="D94" t="inlineStr">
        <is>
          <t>UPPSALA LÄN</t>
        </is>
      </c>
      <c r="E94" t="inlineStr">
        <is>
          <t>ENKÖPING</t>
        </is>
      </c>
      <c r="G94" t="n">
        <v>2.4</v>
      </c>
      <c r="H94" t="n">
        <v>0</v>
      </c>
      <c r="I94" t="n">
        <v>0</v>
      </c>
      <c r="J94" t="n">
        <v>0</v>
      </c>
      <c r="K94" t="n">
        <v>0</v>
      </c>
      <c r="L94" t="n">
        <v>0</v>
      </c>
      <c r="M94" t="n">
        <v>0</v>
      </c>
      <c r="N94" t="n">
        <v>0</v>
      </c>
      <c r="O94" t="n">
        <v>0</v>
      </c>
      <c r="P94" t="n">
        <v>0</v>
      </c>
      <c r="Q94" t="n">
        <v>0</v>
      </c>
      <c r="R94" s="2" t="inlineStr"/>
    </row>
    <row r="95" ht="15" customHeight="1">
      <c r="A95" t="inlineStr">
        <is>
          <t>A 68127-2021</t>
        </is>
      </c>
      <c r="B95" s="1" t="n">
        <v>44526.39513888889</v>
      </c>
      <c r="C95" s="1" t="n">
        <v>46094</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46094</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24815-2022</t>
        </is>
      </c>
      <c r="B97" s="1" t="n">
        <v>44728</v>
      </c>
      <c r="C97" s="1" t="n">
        <v>46094</v>
      </c>
      <c r="D97" t="inlineStr">
        <is>
          <t>UPPSALA LÄN</t>
        </is>
      </c>
      <c r="E97" t="inlineStr">
        <is>
          <t>ENKÖPING</t>
        </is>
      </c>
      <c r="G97" t="n">
        <v>1.8</v>
      </c>
      <c r="H97" t="n">
        <v>0</v>
      </c>
      <c r="I97" t="n">
        <v>0</v>
      </c>
      <c r="J97" t="n">
        <v>0</v>
      </c>
      <c r="K97" t="n">
        <v>0</v>
      </c>
      <c r="L97" t="n">
        <v>0</v>
      </c>
      <c r="M97" t="n">
        <v>0</v>
      </c>
      <c r="N97" t="n">
        <v>0</v>
      </c>
      <c r="O97" t="n">
        <v>0</v>
      </c>
      <c r="P97" t="n">
        <v>0</v>
      </c>
      <c r="Q97" t="n">
        <v>0</v>
      </c>
      <c r="R97" s="2" t="inlineStr"/>
    </row>
    <row r="98" ht="15" customHeight="1">
      <c r="A98" t="inlineStr">
        <is>
          <t>A 57078-2021</t>
        </is>
      </c>
      <c r="B98" s="1" t="n">
        <v>44482.57855324074</v>
      </c>
      <c r="C98" s="1" t="n">
        <v>46094</v>
      </c>
      <c r="D98" t="inlineStr">
        <is>
          <t>UPPSALA LÄN</t>
        </is>
      </c>
      <c r="E98" t="inlineStr">
        <is>
          <t>ENKÖPING</t>
        </is>
      </c>
      <c r="G98" t="n">
        <v>3</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46094</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60874-2021</t>
        </is>
      </c>
      <c r="B100" s="1" t="n">
        <v>44497</v>
      </c>
      <c r="C100" s="1" t="n">
        <v>46094</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42021-2021</t>
        </is>
      </c>
      <c r="B101" s="1" t="n">
        <v>44426</v>
      </c>
      <c r="C101" s="1" t="n">
        <v>46094</v>
      </c>
      <c r="D101" t="inlineStr">
        <is>
          <t>UPPSALA LÄN</t>
        </is>
      </c>
      <c r="E101" t="inlineStr">
        <is>
          <t>ENKÖPING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17467-2022</t>
        </is>
      </c>
      <c r="B102" s="1" t="n">
        <v>44679</v>
      </c>
      <c r="C102" s="1" t="n">
        <v>46094</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29983-2021</t>
        </is>
      </c>
      <c r="B103" s="1" t="n">
        <v>44363</v>
      </c>
      <c r="C103" s="1" t="n">
        <v>46094</v>
      </c>
      <c r="D103" t="inlineStr">
        <is>
          <t>UPPSALA LÄN</t>
        </is>
      </c>
      <c r="E103" t="inlineStr">
        <is>
          <t>ENKÖPING</t>
        </is>
      </c>
      <c r="F103" t="inlineStr">
        <is>
          <t>Kommuner</t>
        </is>
      </c>
      <c r="G103" t="n">
        <v>3.1</v>
      </c>
      <c r="H103" t="n">
        <v>0</v>
      </c>
      <c r="I103" t="n">
        <v>0</v>
      </c>
      <c r="J103" t="n">
        <v>0</v>
      </c>
      <c r="K103" t="n">
        <v>0</v>
      </c>
      <c r="L103" t="n">
        <v>0</v>
      </c>
      <c r="M103" t="n">
        <v>0</v>
      </c>
      <c r="N103" t="n">
        <v>0</v>
      </c>
      <c r="O103" t="n">
        <v>0</v>
      </c>
      <c r="P103" t="n">
        <v>0</v>
      </c>
      <c r="Q103" t="n">
        <v>0</v>
      </c>
      <c r="R103" s="2" t="inlineStr"/>
    </row>
    <row r="104" ht="15" customHeight="1">
      <c r="A104" t="inlineStr">
        <is>
          <t>A 50747-2022</t>
        </is>
      </c>
      <c r="B104" s="1" t="n">
        <v>44867.40162037037</v>
      </c>
      <c r="C104" s="1" t="n">
        <v>46094</v>
      </c>
      <c r="D104" t="inlineStr">
        <is>
          <t>UPPSALA LÄN</t>
        </is>
      </c>
      <c r="E104" t="inlineStr">
        <is>
          <t>ENKÖPING</t>
        </is>
      </c>
      <c r="G104" t="n">
        <v>1.5</v>
      </c>
      <c r="H104" t="n">
        <v>0</v>
      </c>
      <c r="I104" t="n">
        <v>0</v>
      </c>
      <c r="J104" t="n">
        <v>0</v>
      </c>
      <c r="K104" t="n">
        <v>0</v>
      </c>
      <c r="L104" t="n">
        <v>0</v>
      </c>
      <c r="M104" t="n">
        <v>0</v>
      </c>
      <c r="N104" t="n">
        <v>0</v>
      </c>
      <c r="O104" t="n">
        <v>0</v>
      </c>
      <c r="P104" t="n">
        <v>0</v>
      </c>
      <c r="Q104" t="n">
        <v>0</v>
      </c>
      <c r="R104" s="2" t="inlineStr"/>
    </row>
    <row r="105" ht="15" customHeight="1">
      <c r="A105" t="inlineStr">
        <is>
          <t>A 17657-2025</t>
        </is>
      </c>
      <c r="B105" s="1" t="n">
        <v>45758.35006944444</v>
      </c>
      <c r="C105" s="1" t="n">
        <v>46094</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57335-2024</t>
        </is>
      </c>
      <c r="B106" s="1" t="n">
        <v>45629.63302083333</v>
      </c>
      <c r="C106" s="1" t="n">
        <v>46094</v>
      </c>
      <c r="D106" t="inlineStr">
        <is>
          <t>UPPSALA LÄN</t>
        </is>
      </c>
      <c r="E106" t="inlineStr">
        <is>
          <t>ENKÖPING</t>
        </is>
      </c>
      <c r="G106" t="n">
        <v>2.1</v>
      </c>
      <c r="H106" t="n">
        <v>0</v>
      </c>
      <c r="I106" t="n">
        <v>0</v>
      </c>
      <c r="J106" t="n">
        <v>0</v>
      </c>
      <c r="K106" t="n">
        <v>0</v>
      </c>
      <c r="L106" t="n">
        <v>0</v>
      </c>
      <c r="M106" t="n">
        <v>0</v>
      </c>
      <c r="N106" t="n">
        <v>0</v>
      </c>
      <c r="O106" t="n">
        <v>0</v>
      </c>
      <c r="P106" t="n">
        <v>0</v>
      </c>
      <c r="Q106" t="n">
        <v>0</v>
      </c>
      <c r="R106" s="2" t="inlineStr"/>
    </row>
    <row r="107" ht="15" customHeight="1">
      <c r="A107" t="inlineStr">
        <is>
          <t>A 49568-2022</t>
        </is>
      </c>
      <c r="B107" s="1" t="n">
        <v>44862.32791666667</v>
      </c>
      <c r="C107" s="1" t="n">
        <v>46094</v>
      </c>
      <c r="D107" t="inlineStr">
        <is>
          <t>UPPSALA LÄN</t>
        </is>
      </c>
      <c r="E107" t="inlineStr">
        <is>
          <t>ENKÖPING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57835-2024</t>
        </is>
      </c>
      <c r="B108" s="1" t="n">
        <v>45631.39947916667</v>
      </c>
      <c r="C108" s="1" t="n">
        <v>46094</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53208-2023</t>
        </is>
      </c>
      <c r="B109" s="1" t="n">
        <v>45226</v>
      </c>
      <c r="C109" s="1" t="n">
        <v>46094</v>
      </c>
      <c r="D109" t="inlineStr">
        <is>
          <t>UPPSALA LÄN</t>
        </is>
      </c>
      <c r="E109" t="inlineStr">
        <is>
          <t>ENKÖPING</t>
        </is>
      </c>
      <c r="G109" t="n">
        <v>4.3</v>
      </c>
      <c r="H109" t="n">
        <v>0</v>
      </c>
      <c r="I109" t="n">
        <v>0</v>
      </c>
      <c r="J109" t="n">
        <v>0</v>
      </c>
      <c r="K109" t="n">
        <v>0</v>
      </c>
      <c r="L109" t="n">
        <v>0</v>
      </c>
      <c r="M109" t="n">
        <v>0</v>
      </c>
      <c r="N109" t="n">
        <v>0</v>
      </c>
      <c r="O109" t="n">
        <v>0</v>
      </c>
      <c r="P109" t="n">
        <v>0</v>
      </c>
      <c r="Q109" t="n">
        <v>0</v>
      </c>
      <c r="R109" s="2" t="inlineStr"/>
    </row>
    <row r="110" ht="15" customHeight="1">
      <c r="A110" t="inlineStr">
        <is>
          <t>A 47681-2024</t>
        </is>
      </c>
      <c r="B110" s="1" t="n">
        <v>45588</v>
      </c>
      <c r="C110" s="1" t="n">
        <v>46094</v>
      </c>
      <c r="D110" t="inlineStr">
        <is>
          <t>UPPSALA LÄN</t>
        </is>
      </c>
      <c r="E110" t="inlineStr">
        <is>
          <t>ENKÖPING</t>
        </is>
      </c>
      <c r="G110" t="n">
        <v>4.2</v>
      </c>
      <c r="H110" t="n">
        <v>0</v>
      </c>
      <c r="I110" t="n">
        <v>0</v>
      </c>
      <c r="J110" t="n">
        <v>0</v>
      </c>
      <c r="K110" t="n">
        <v>0</v>
      </c>
      <c r="L110" t="n">
        <v>0</v>
      </c>
      <c r="M110" t="n">
        <v>0</v>
      </c>
      <c r="N110" t="n">
        <v>0</v>
      </c>
      <c r="O110" t="n">
        <v>0</v>
      </c>
      <c r="P110" t="n">
        <v>0</v>
      </c>
      <c r="Q110" t="n">
        <v>0</v>
      </c>
      <c r="R110" s="2" t="inlineStr"/>
    </row>
    <row r="111" ht="15" customHeight="1">
      <c r="A111" t="inlineStr">
        <is>
          <t>A 15021-2022</t>
        </is>
      </c>
      <c r="B111" s="1" t="n">
        <v>44657</v>
      </c>
      <c r="C111" s="1" t="n">
        <v>46094</v>
      </c>
      <c r="D111" t="inlineStr">
        <is>
          <t>UPPSALA LÄN</t>
        </is>
      </c>
      <c r="E111" t="inlineStr">
        <is>
          <t>ENKÖPING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19013-2025</t>
        </is>
      </c>
      <c r="B112" s="1" t="n">
        <v>45764.59533564815</v>
      </c>
      <c r="C112" s="1" t="n">
        <v>46094</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53496-2022</t>
        </is>
      </c>
      <c r="B113" s="1" t="n">
        <v>44879.57217592592</v>
      </c>
      <c r="C113" s="1" t="n">
        <v>46094</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15942-2022</t>
        </is>
      </c>
      <c r="B114" s="1" t="n">
        <v>44664</v>
      </c>
      <c r="C114" s="1" t="n">
        <v>46094</v>
      </c>
      <c r="D114" t="inlineStr">
        <is>
          <t>UPPSALA LÄN</t>
        </is>
      </c>
      <c r="E114" t="inlineStr">
        <is>
          <t>ENKÖPING</t>
        </is>
      </c>
      <c r="G114" t="n">
        <v>6.6</v>
      </c>
      <c r="H114" t="n">
        <v>0</v>
      </c>
      <c r="I114" t="n">
        <v>0</v>
      </c>
      <c r="J114" t="n">
        <v>0</v>
      </c>
      <c r="K114" t="n">
        <v>0</v>
      </c>
      <c r="L114" t="n">
        <v>0</v>
      </c>
      <c r="M114" t="n">
        <v>0</v>
      </c>
      <c r="N114" t="n">
        <v>0</v>
      </c>
      <c r="O114" t="n">
        <v>0</v>
      </c>
      <c r="P114" t="n">
        <v>0</v>
      </c>
      <c r="Q114" t="n">
        <v>0</v>
      </c>
      <c r="R114" s="2" t="inlineStr"/>
    </row>
    <row r="115" ht="15" customHeight="1">
      <c r="A115" t="inlineStr">
        <is>
          <t>A 2974-2025</t>
        </is>
      </c>
      <c r="B115" s="1" t="n">
        <v>45678.47168981482</v>
      </c>
      <c r="C115" s="1" t="n">
        <v>46094</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49063-2024</t>
        </is>
      </c>
      <c r="B116" s="1" t="n">
        <v>45594.59869212963</v>
      </c>
      <c r="C116" s="1" t="n">
        <v>46094</v>
      </c>
      <c r="D116" t="inlineStr">
        <is>
          <t>UPPSALA LÄN</t>
        </is>
      </c>
      <c r="E116" t="inlineStr">
        <is>
          <t>ENKÖPING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13853-2023</t>
        </is>
      </c>
      <c r="B117" s="1" t="n">
        <v>45007</v>
      </c>
      <c r="C117" s="1" t="n">
        <v>46094</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2164-2023</t>
        </is>
      </c>
      <c r="B118" s="1" t="n">
        <v>44941</v>
      </c>
      <c r="C118" s="1" t="n">
        <v>46094</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27786-2023</t>
        </is>
      </c>
      <c r="B119" s="1" t="n">
        <v>45098</v>
      </c>
      <c r="C119" s="1" t="n">
        <v>46094</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61952-2021</t>
        </is>
      </c>
      <c r="B120" s="1" t="n">
        <v>44502</v>
      </c>
      <c r="C120" s="1" t="n">
        <v>46094</v>
      </c>
      <c r="D120" t="inlineStr">
        <is>
          <t>UPPSALA LÄN</t>
        </is>
      </c>
      <c r="E120" t="inlineStr">
        <is>
          <t>ENKÖPING</t>
        </is>
      </c>
      <c r="G120" t="n">
        <v>2.3</v>
      </c>
      <c r="H120" t="n">
        <v>0</v>
      </c>
      <c r="I120" t="n">
        <v>0</v>
      </c>
      <c r="J120" t="n">
        <v>0</v>
      </c>
      <c r="K120" t="n">
        <v>0</v>
      </c>
      <c r="L120" t="n">
        <v>0</v>
      </c>
      <c r="M120" t="n">
        <v>0</v>
      </c>
      <c r="N120" t="n">
        <v>0</v>
      </c>
      <c r="O120" t="n">
        <v>0</v>
      </c>
      <c r="P120" t="n">
        <v>0</v>
      </c>
      <c r="Q120" t="n">
        <v>0</v>
      </c>
      <c r="R120" s="2" t="inlineStr"/>
    </row>
    <row r="121" ht="15" customHeight="1">
      <c r="A121" t="inlineStr">
        <is>
          <t>A 44131-2023</t>
        </is>
      </c>
      <c r="B121" s="1" t="n">
        <v>45188</v>
      </c>
      <c r="C121" s="1" t="n">
        <v>46094</v>
      </c>
      <c r="D121" t="inlineStr">
        <is>
          <t>UPPSALA LÄN</t>
        </is>
      </c>
      <c r="E121" t="inlineStr">
        <is>
          <t>ENKÖPING</t>
        </is>
      </c>
      <c r="G121" t="n">
        <v>0.3</v>
      </c>
      <c r="H121" t="n">
        <v>0</v>
      </c>
      <c r="I121" t="n">
        <v>0</v>
      </c>
      <c r="J121" t="n">
        <v>0</v>
      </c>
      <c r="K121" t="n">
        <v>0</v>
      </c>
      <c r="L121" t="n">
        <v>0</v>
      </c>
      <c r="M121" t="n">
        <v>0</v>
      </c>
      <c r="N121" t="n">
        <v>0</v>
      </c>
      <c r="O121" t="n">
        <v>0</v>
      </c>
      <c r="P121" t="n">
        <v>0</v>
      </c>
      <c r="Q121" t="n">
        <v>0</v>
      </c>
      <c r="R121" s="2" t="inlineStr"/>
    </row>
    <row r="122" ht="15" customHeight="1">
      <c r="A122" t="inlineStr">
        <is>
          <t>A 60533-2021</t>
        </is>
      </c>
      <c r="B122" s="1" t="n">
        <v>44496</v>
      </c>
      <c r="C122" s="1" t="n">
        <v>46094</v>
      </c>
      <c r="D122" t="inlineStr">
        <is>
          <t>UPPSALA LÄN</t>
        </is>
      </c>
      <c r="E122" t="inlineStr">
        <is>
          <t>ENKÖPING</t>
        </is>
      </c>
      <c r="G122" t="n">
        <v>2.2</v>
      </c>
      <c r="H122" t="n">
        <v>0</v>
      </c>
      <c r="I122" t="n">
        <v>0</v>
      </c>
      <c r="J122" t="n">
        <v>0</v>
      </c>
      <c r="K122" t="n">
        <v>0</v>
      </c>
      <c r="L122" t="n">
        <v>0</v>
      </c>
      <c r="M122" t="n">
        <v>0</v>
      </c>
      <c r="N122" t="n">
        <v>0</v>
      </c>
      <c r="O122" t="n">
        <v>0</v>
      </c>
      <c r="P122" t="n">
        <v>0</v>
      </c>
      <c r="Q122" t="n">
        <v>0</v>
      </c>
      <c r="R122" s="2" t="inlineStr"/>
    </row>
    <row r="123" ht="15" customHeight="1">
      <c r="A123" t="inlineStr">
        <is>
          <t>A 48864-2022</t>
        </is>
      </c>
      <c r="B123" s="1" t="n">
        <v>44859</v>
      </c>
      <c r="C123" s="1" t="n">
        <v>46094</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14083-2025</t>
        </is>
      </c>
      <c r="B124" s="1" t="n">
        <v>45740</v>
      </c>
      <c r="C124" s="1" t="n">
        <v>46094</v>
      </c>
      <c r="D124" t="inlineStr">
        <is>
          <t>UPPSALA LÄN</t>
        </is>
      </c>
      <c r="E124" t="inlineStr">
        <is>
          <t>ENKÖPING</t>
        </is>
      </c>
      <c r="G124" t="n">
        <v>1.1</v>
      </c>
      <c r="H124" t="n">
        <v>0</v>
      </c>
      <c r="I124" t="n">
        <v>0</v>
      </c>
      <c r="J124" t="n">
        <v>0</v>
      </c>
      <c r="K124" t="n">
        <v>0</v>
      </c>
      <c r="L124" t="n">
        <v>0</v>
      </c>
      <c r="M124" t="n">
        <v>0</v>
      </c>
      <c r="N124" t="n">
        <v>0</v>
      </c>
      <c r="O124" t="n">
        <v>0</v>
      </c>
      <c r="P124" t="n">
        <v>0</v>
      </c>
      <c r="Q124" t="n">
        <v>0</v>
      </c>
      <c r="R124" s="2" t="inlineStr"/>
    </row>
    <row r="125" ht="15" customHeight="1">
      <c r="A125" t="inlineStr">
        <is>
          <t>A 69879-2021</t>
        </is>
      </c>
      <c r="B125" s="1" t="n">
        <v>44532</v>
      </c>
      <c r="C125" s="1" t="n">
        <v>46094</v>
      </c>
      <c r="D125" t="inlineStr">
        <is>
          <t>UPPSALA LÄN</t>
        </is>
      </c>
      <c r="E125" t="inlineStr">
        <is>
          <t>ENKÖPING</t>
        </is>
      </c>
      <c r="G125" t="n">
        <v>4.2</v>
      </c>
      <c r="H125" t="n">
        <v>0</v>
      </c>
      <c r="I125" t="n">
        <v>0</v>
      </c>
      <c r="J125" t="n">
        <v>0</v>
      </c>
      <c r="K125" t="n">
        <v>0</v>
      </c>
      <c r="L125" t="n">
        <v>0</v>
      </c>
      <c r="M125" t="n">
        <v>0</v>
      </c>
      <c r="N125" t="n">
        <v>0</v>
      </c>
      <c r="O125" t="n">
        <v>0</v>
      </c>
      <c r="P125" t="n">
        <v>0</v>
      </c>
      <c r="Q125" t="n">
        <v>0</v>
      </c>
      <c r="R125" s="2" t="inlineStr"/>
    </row>
    <row r="126" ht="15" customHeight="1">
      <c r="A126" t="inlineStr">
        <is>
          <t>A 6242-2025</t>
        </is>
      </c>
      <c r="B126" s="1" t="n">
        <v>45697</v>
      </c>
      <c r="C126" s="1" t="n">
        <v>46094</v>
      </c>
      <c r="D126" t="inlineStr">
        <is>
          <t>UPPSALA LÄN</t>
        </is>
      </c>
      <c r="E126" t="inlineStr">
        <is>
          <t>ENKÖPING</t>
        </is>
      </c>
      <c r="G126" t="n">
        <v>17.9</v>
      </c>
      <c r="H126" t="n">
        <v>0</v>
      </c>
      <c r="I126" t="n">
        <v>0</v>
      </c>
      <c r="J126" t="n">
        <v>0</v>
      </c>
      <c r="K126" t="n">
        <v>0</v>
      </c>
      <c r="L126" t="n">
        <v>0</v>
      </c>
      <c r="M126" t="n">
        <v>0</v>
      </c>
      <c r="N126" t="n">
        <v>0</v>
      </c>
      <c r="O126" t="n">
        <v>0</v>
      </c>
      <c r="P126" t="n">
        <v>0</v>
      </c>
      <c r="Q126" t="n">
        <v>0</v>
      </c>
      <c r="R126" s="2" t="inlineStr"/>
    </row>
    <row r="127" ht="15" customHeight="1">
      <c r="A127" t="inlineStr">
        <is>
          <t>A 42459-2024</t>
        </is>
      </c>
      <c r="B127" s="1" t="n">
        <v>45565</v>
      </c>
      <c r="C127" s="1" t="n">
        <v>46094</v>
      </c>
      <c r="D127" t="inlineStr">
        <is>
          <t>UPPSALA LÄN</t>
        </is>
      </c>
      <c r="E127" t="inlineStr">
        <is>
          <t>ENKÖPING</t>
        </is>
      </c>
      <c r="G127" t="n">
        <v>3.6</v>
      </c>
      <c r="H127" t="n">
        <v>0</v>
      </c>
      <c r="I127" t="n">
        <v>0</v>
      </c>
      <c r="J127" t="n">
        <v>0</v>
      </c>
      <c r="K127" t="n">
        <v>0</v>
      </c>
      <c r="L127" t="n">
        <v>0</v>
      </c>
      <c r="M127" t="n">
        <v>0</v>
      </c>
      <c r="N127" t="n">
        <v>0</v>
      </c>
      <c r="O127" t="n">
        <v>0</v>
      </c>
      <c r="P127" t="n">
        <v>0</v>
      </c>
      <c r="Q127" t="n">
        <v>0</v>
      </c>
      <c r="R127" s="2" t="inlineStr"/>
    </row>
    <row r="128" ht="15" customHeight="1">
      <c r="A128" t="inlineStr">
        <is>
          <t>A 60125-2024</t>
        </is>
      </c>
      <c r="B128" s="1" t="n">
        <v>45642</v>
      </c>
      <c r="C128" s="1" t="n">
        <v>46094</v>
      </c>
      <c r="D128" t="inlineStr">
        <is>
          <t>UPPSALA LÄN</t>
        </is>
      </c>
      <c r="E128" t="inlineStr">
        <is>
          <t>ENKÖPING</t>
        </is>
      </c>
      <c r="G128" t="n">
        <v>2.1</v>
      </c>
      <c r="H128" t="n">
        <v>0</v>
      </c>
      <c r="I128" t="n">
        <v>0</v>
      </c>
      <c r="J128" t="n">
        <v>0</v>
      </c>
      <c r="K128" t="n">
        <v>0</v>
      </c>
      <c r="L128" t="n">
        <v>0</v>
      </c>
      <c r="M128" t="n">
        <v>0</v>
      </c>
      <c r="N128" t="n">
        <v>0</v>
      </c>
      <c r="O128" t="n">
        <v>0</v>
      </c>
      <c r="P128" t="n">
        <v>0</v>
      </c>
      <c r="Q128" t="n">
        <v>0</v>
      </c>
      <c r="R128" s="2" t="inlineStr"/>
    </row>
    <row r="129" ht="15" customHeight="1">
      <c r="A129" t="inlineStr">
        <is>
          <t>A 35052-2024</t>
        </is>
      </c>
      <c r="B129" s="1" t="n">
        <v>45527.6516087963</v>
      </c>
      <c r="C129" s="1" t="n">
        <v>46094</v>
      </c>
      <c r="D129" t="inlineStr">
        <is>
          <t>UPPSALA LÄN</t>
        </is>
      </c>
      <c r="E129" t="inlineStr">
        <is>
          <t>ENKÖPING</t>
        </is>
      </c>
      <c r="G129" t="n">
        <v>1.5</v>
      </c>
      <c r="H129" t="n">
        <v>0</v>
      </c>
      <c r="I129" t="n">
        <v>0</v>
      </c>
      <c r="J129" t="n">
        <v>0</v>
      </c>
      <c r="K129" t="n">
        <v>0</v>
      </c>
      <c r="L129" t="n">
        <v>0</v>
      </c>
      <c r="M129" t="n">
        <v>0</v>
      </c>
      <c r="N129" t="n">
        <v>0</v>
      </c>
      <c r="O129" t="n">
        <v>0</v>
      </c>
      <c r="P129" t="n">
        <v>0</v>
      </c>
      <c r="Q129" t="n">
        <v>0</v>
      </c>
      <c r="R129" s="2" t="inlineStr"/>
    </row>
    <row r="130" ht="15" customHeight="1">
      <c r="A130" t="inlineStr">
        <is>
          <t>A 10468-2025</t>
        </is>
      </c>
      <c r="B130" s="1" t="n">
        <v>45720</v>
      </c>
      <c r="C130" s="1" t="n">
        <v>46094</v>
      </c>
      <c r="D130" t="inlineStr">
        <is>
          <t>UPPSALA LÄN</t>
        </is>
      </c>
      <c r="E130" t="inlineStr">
        <is>
          <t>ENKÖPING</t>
        </is>
      </c>
      <c r="G130" t="n">
        <v>1.6</v>
      </c>
      <c r="H130" t="n">
        <v>0</v>
      </c>
      <c r="I130" t="n">
        <v>0</v>
      </c>
      <c r="J130" t="n">
        <v>0</v>
      </c>
      <c r="K130" t="n">
        <v>0</v>
      </c>
      <c r="L130" t="n">
        <v>0</v>
      </c>
      <c r="M130" t="n">
        <v>0</v>
      </c>
      <c r="N130" t="n">
        <v>0</v>
      </c>
      <c r="O130" t="n">
        <v>0</v>
      </c>
      <c r="P130" t="n">
        <v>0</v>
      </c>
      <c r="Q130" t="n">
        <v>0</v>
      </c>
      <c r="R130" s="2" t="inlineStr"/>
    </row>
    <row r="131" ht="15" customHeight="1">
      <c r="A131" t="inlineStr">
        <is>
          <t>A 51008-2024</t>
        </is>
      </c>
      <c r="B131" s="1" t="n">
        <v>45603.39041666667</v>
      </c>
      <c r="C131" s="1" t="n">
        <v>46094</v>
      </c>
      <c r="D131" t="inlineStr">
        <is>
          <t>UPPSALA LÄN</t>
        </is>
      </c>
      <c r="E131" t="inlineStr">
        <is>
          <t>ENKÖPING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5211-2024</t>
        </is>
      </c>
      <c r="B132" s="1" t="n">
        <v>45330</v>
      </c>
      <c r="C132" s="1" t="n">
        <v>46094</v>
      </c>
      <c r="D132" t="inlineStr">
        <is>
          <t>UPPSALA LÄN</t>
        </is>
      </c>
      <c r="E132" t="inlineStr">
        <is>
          <t>ENKÖPING</t>
        </is>
      </c>
      <c r="G132" t="n">
        <v>0.8</v>
      </c>
      <c r="H132" t="n">
        <v>0</v>
      </c>
      <c r="I132" t="n">
        <v>0</v>
      </c>
      <c r="J132" t="n">
        <v>0</v>
      </c>
      <c r="K132" t="n">
        <v>0</v>
      </c>
      <c r="L132" t="n">
        <v>0</v>
      </c>
      <c r="M132" t="n">
        <v>0</v>
      </c>
      <c r="N132" t="n">
        <v>0</v>
      </c>
      <c r="O132" t="n">
        <v>0</v>
      </c>
      <c r="P132" t="n">
        <v>0</v>
      </c>
      <c r="Q132" t="n">
        <v>0</v>
      </c>
      <c r="R132" s="2" t="inlineStr"/>
    </row>
    <row r="133" ht="15" customHeight="1">
      <c r="A133" t="inlineStr">
        <is>
          <t>A 10409-2025</t>
        </is>
      </c>
      <c r="B133" s="1" t="n">
        <v>45720.631875</v>
      </c>
      <c r="C133" s="1" t="n">
        <v>46094</v>
      </c>
      <c r="D133" t="inlineStr">
        <is>
          <t>UPPSALA LÄN</t>
        </is>
      </c>
      <c r="E133" t="inlineStr">
        <is>
          <t>ENKÖPING</t>
        </is>
      </c>
      <c r="G133" t="n">
        <v>2.2</v>
      </c>
      <c r="H133" t="n">
        <v>0</v>
      </c>
      <c r="I133" t="n">
        <v>0</v>
      </c>
      <c r="J133" t="n">
        <v>0</v>
      </c>
      <c r="K133" t="n">
        <v>0</v>
      </c>
      <c r="L133" t="n">
        <v>0</v>
      </c>
      <c r="M133" t="n">
        <v>0</v>
      </c>
      <c r="N133" t="n">
        <v>0</v>
      </c>
      <c r="O133" t="n">
        <v>0</v>
      </c>
      <c r="P133" t="n">
        <v>0</v>
      </c>
      <c r="Q133" t="n">
        <v>0</v>
      </c>
      <c r="R133" s="2" t="inlineStr"/>
    </row>
    <row r="134" ht="15" customHeight="1">
      <c r="A134" t="inlineStr">
        <is>
          <t>A 18299-2025</t>
        </is>
      </c>
      <c r="B134" s="1" t="n">
        <v>45762</v>
      </c>
      <c r="C134" s="1" t="n">
        <v>46094</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15757-2023</t>
        </is>
      </c>
      <c r="B135" s="1" t="n">
        <v>45021</v>
      </c>
      <c r="C135" s="1" t="n">
        <v>46094</v>
      </c>
      <c r="D135" t="inlineStr">
        <is>
          <t>UPPSALA LÄN</t>
        </is>
      </c>
      <c r="E135" t="inlineStr">
        <is>
          <t>ENKÖPING</t>
        </is>
      </c>
      <c r="G135" t="n">
        <v>3</v>
      </c>
      <c r="H135" t="n">
        <v>0</v>
      </c>
      <c r="I135" t="n">
        <v>0</v>
      </c>
      <c r="J135" t="n">
        <v>0</v>
      </c>
      <c r="K135" t="n">
        <v>0</v>
      </c>
      <c r="L135" t="n">
        <v>0</v>
      </c>
      <c r="M135" t="n">
        <v>0</v>
      </c>
      <c r="N135" t="n">
        <v>0</v>
      </c>
      <c r="O135" t="n">
        <v>0</v>
      </c>
      <c r="P135" t="n">
        <v>0</v>
      </c>
      <c r="Q135" t="n">
        <v>0</v>
      </c>
      <c r="R135" s="2" t="inlineStr"/>
    </row>
    <row r="136" ht="15" customHeight="1">
      <c r="A136" t="inlineStr">
        <is>
          <t>A 21686-2022</t>
        </is>
      </c>
      <c r="B136" s="1" t="n">
        <v>44707</v>
      </c>
      <c r="C136" s="1" t="n">
        <v>46094</v>
      </c>
      <c r="D136" t="inlineStr">
        <is>
          <t>UPPSALA LÄN</t>
        </is>
      </c>
      <c r="E136" t="inlineStr">
        <is>
          <t>ENKÖPING</t>
        </is>
      </c>
      <c r="G136" t="n">
        <v>2.2</v>
      </c>
      <c r="H136" t="n">
        <v>0</v>
      </c>
      <c r="I136" t="n">
        <v>0</v>
      </c>
      <c r="J136" t="n">
        <v>0</v>
      </c>
      <c r="K136" t="n">
        <v>0</v>
      </c>
      <c r="L136" t="n">
        <v>0</v>
      </c>
      <c r="M136" t="n">
        <v>0</v>
      </c>
      <c r="N136" t="n">
        <v>0</v>
      </c>
      <c r="O136" t="n">
        <v>0</v>
      </c>
      <c r="P136" t="n">
        <v>0</v>
      </c>
      <c r="Q136" t="n">
        <v>0</v>
      </c>
      <c r="R136" s="2" t="inlineStr"/>
    </row>
    <row r="137" ht="15" customHeight="1">
      <c r="A137" t="inlineStr">
        <is>
          <t>A 18831-2023</t>
        </is>
      </c>
      <c r="B137" s="1" t="n">
        <v>45044.40798611111</v>
      </c>
      <c r="C137" s="1" t="n">
        <v>46094</v>
      </c>
      <c r="D137" t="inlineStr">
        <is>
          <t>UPPSALA LÄN</t>
        </is>
      </c>
      <c r="E137" t="inlineStr">
        <is>
          <t>ENKÖPING</t>
        </is>
      </c>
      <c r="G137" t="n">
        <v>4.3</v>
      </c>
      <c r="H137" t="n">
        <v>0</v>
      </c>
      <c r="I137" t="n">
        <v>0</v>
      </c>
      <c r="J137" t="n">
        <v>0</v>
      </c>
      <c r="K137" t="n">
        <v>0</v>
      </c>
      <c r="L137" t="n">
        <v>0</v>
      </c>
      <c r="M137" t="n">
        <v>0</v>
      </c>
      <c r="N137" t="n">
        <v>0</v>
      </c>
      <c r="O137" t="n">
        <v>0</v>
      </c>
      <c r="P137" t="n">
        <v>0</v>
      </c>
      <c r="Q137" t="n">
        <v>0</v>
      </c>
      <c r="R137" s="2" t="inlineStr"/>
    </row>
    <row r="138" ht="15" customHeight="1">
      <c r="A138" t="inlineStr">
        <is>
          <t>A 2161-2023</t>
        </is>
      </c>
      <c r="B138" s="1" t="n">
        <v>44941</v>
      </c>
      <c r="C138" s="1" t="n">
        <v>46094</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2165-2023</t>
        </is>
      </c>
      <c r="B139" s="1" t="n">
        <v>44941</v>
      </c>
      <c r="C139" s="1" t="n">
        <v>46094</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6172-2023</t>
        </is>
      </c>
      <c r="B140" s="1" t="n">
        <v>44964.68663194445</v>
      </c>
      <c r="C140" s="1" t="n">
        <v>46094</v>
      </c>
      <c r="D140" t="inlineStr">
        <is>
          <t>UPPSALA LÄN</t>
        </is>
      </c>
      <c r="E140" t="inlineStr">
        <is>
          <t>ENKÖPING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14402-2023</t>
        </is>
      </c>
      <c r="B141" s="1" t="n">
        <v>45012</v>
      </c>
      <c r="C141" s="1" t="n">
        <v>46094</v>
      </c>
      <c r="D141" t="inlineStr">
        <is>
          <t>UPPSALA LÄN</t>
        </is>
      </c>
      <c r="E141" t="inlineStr">
        <is>
          <t>ENKÖPING</t>
        </is>
      </c>
      <c r="G141" t="n">
        <v>9.5</v>
      </c>
      <c r="H141" t="n">
        <v>0</v>
      </c>
      <c r="I141" t="n">
        <v>0</v>
      </c>
      <c r="J141" t="n">
        <v>0</v>
      </c>
      <c r="K141" t="n">
        <v>0</v>
      </c>
      <c r="L141" t="n">
        <v>0</v>
      </c>
      <c r="M141" t="n">
        <v>0</v>
      </c>
      <c r="N141" t="n">
        <v>0</v>
      </c>
      <c r="O141" t="n">
        <v>0</v>
      </c>
      <c r="P141" t="n">
        <v>0</v>
      </c>
      <c r="Q141" t="n">
        <v>0</v>
      </c>
      <c r="R141" s="2" t="inlineStr"/>
    </row>
    <row r="142" ht="15" customHeight="1">
      <c r="A142" t="inlineStr">
        <is>
          <t>A 20112-2024</t>
        </is>
      </c>
      <c r="B142" s="1" t="n">
        <v>45434</v>
      </c>
      <c r="C142" s="1" t="n">
        <v>46094</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27983-2024</t>
        </is>
      </c>
      <c r="B143" s="1" t="n">
        <v>45476</v>
      </c>
      <c r="C143" s="1" t="n">
        <v>46094</v>
      </c>
      <c r="D143" t="inlineStr">
        <is>
          <t>UPPSALA LÄN</t>
        </is>
      </c>
      <c r="E143" t="inlineStr">
        <is>
          <t>ENKÖPING</t>
        </is>
      </c>
      <c r="G143" t="n">
        <v>3.2</v>
      </c>
      <c r="H143" t="n">
        <v>0</v>
      </c>
      <c r="I143" t="n">
        <v>0</v>
      </c>
      <c r="J143" t="n">
        <v>0</v>
      </c>
      <c r="K143" t="n">
        <v>0</v>
      </c>
      <c r="L143" t="n">
        <v>0</v>
      </c>
      <c r="M143" t="n">
        <v>0</v>
      </c>
      <c r="N143" t="n">
        <v>0</v>
      </c>
      <c r="O143" t="n">
        <v>0</v>
      </c>
      <c r="P143" t="n">
        <v>0</v>
      </c>
      <c r="Q143" t="n">
        <v>0</v>
      </c>
      <c r="R143" s="2" t="inlineStr"/>
    </row>
    <row r="144" ht="15" customHeight="1">
      <c r="A144" t="inlineStr">
        <is>
          <t>A 19298-2023</t>
        </is>
      </c>
      <c r="B144" s="1" t="n">
        <v>45048</v>
      </c>
      <c r="C144" s="1" t="n">
        <v>46094</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22156-2025</t>
        </is>
      </c>
      <c r="B145" s="1" t="n">
        <v>45785.57512731481</v>
      </c>
      <c r="C145" s="1" t="n">
        <v>46094</v>
      </c>
      <c r="D145" t="inlineStr">
        <is>
          <t>UPPSALA LÄN</t>
        </is>
      </c>
      <c r="E145" t="inlineStr">
        <is>
          <t>ENKÖPING</t>
        </is>
      </c>
      <c r="G145" t="n">
        <v>0.9</v>
      </c>
      <c r="H145" t="n">
        <v>0</v>
      </c>
      <c r="I145" t="n">
        <v>0</v>
      </c>
      <c r="J145" t="n">
        <v>0</v>
      </c>
      <c r="K145" t="n">
        <v>0</v>
      </c>
      <c r="L145" t="n">
        <v>0</v>
      </c>
      <c r="M145" t="n">
        <v>0</v>
      </c>
      <c r="N145" t="n">
        <v>0</v>
      </c>
      <c r="O145" t="n">
        <v>0</v>
      </c>
      <c r="P145" t="n">
        <v>0</v>
      </c>
      <c r="Q145" t="n">
        <v>0</v>
      </c>
      <c r="R145" s="2" t="inlineStr"/>
    </row>
    <row r="146" ht="15" customHeight="1">
      <c r="A146" t="inlineStr">
        <is>
          <t>A 22150-2025</t>
        </is>
      </c>
      <c r="B146" s="1" t="n">
        <v>45785.56398148148</v>
      </c>
      <c r="C146" s="1" t="n">
        <v>46094</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2162-2023</t>
        </is>
      </c>
      <c r="B147" s="1" t="n">
        <v>44941</v>
      </c>
      <c r="C147" s="1" t="n">
        <v>46094</v>
      </c>
      <c r="D147" t="inlineStr">
        <is>
          <t>UPPSALA LÄN</t>
        </is>
      </c>
      <c r="E147" t="inlineStr">
        <is>
          <t>ENKÖPING</t>
        </is>
      </c>
      <c r="G147" t="n">
        <v>2.4</v>
      </c>
      <c r="H147" t="n">
        <v>0</v>
      </c>
      <c r="I147" t="n">
        <v>0</v>
      </c>
      <c r="J147" t="n">
        <v>0</v>
      </c>
      <c r="K147" t="n">
        <v>0</v>
      </c>
      <c r="L147" t="n">
        <v>0</v>
      </c>
      <c r="M147" t="n">
        <v>0</v>
      </c>
      <c r="N147" t="n">
        <v>0</v>
      </c>
      <c r="O147" t="n">
        <v>0</v>
      </c>
      <c r="P147" t="n">
        <v>0</v>
      </c>
      <c r="Q147" t="n">
        <v>0</v>
      </c>
      <c r="R147" s="2" t="inlineStr"/>
    </row>
    <row r="148" ht="15" customHeight="1">
      <c r="A148" t="inlineStr">
        <is>
          <t>A 15939-2022</t>
        </is>
      </c>
      <c r="B148" s="1" t="n">
        <v>44664</v>
      </c>
      <c r="C148" s="1" t="n">
        <v>46094</v>
      </c>
      <c r="D148" t="inlineStr">
        <is>
          <t>UPPSALA LÄN</t>
        </is>
      </c>
      <c r="E148" t="inlineStr">
        <is>
          <t>ENKÖPING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32081-2024</t>
        </is>
      </c>
      <c r="B149" s="1" t="n">
        <v>45511.34605324074</v>
      </c>
      <c r="C149" s="1" t="n">
        <v>46094</v>
      </c>
      <c r="D149" t="inlineStr">
        <is>
          <t>UPPSALA LÄN</t>
        </is>
      </c>
      <c r="E149" t="inlineStr">
        <is>
          <t>ENKÖPING</t>
        </is>
      </c>
      <c r="G149" t="n">
        <v>5.4</v>
      </c>
      <c r="H149" t="n">
        <v>0</v>
      </c>
      <c r="I149" t="n">
        <v>0</v>
      </c>
      <c r="J149" t="n">
        <v>0</v>
      </c>
      <c r="K149" t="n">
        <v>0</v>
      </c>
      <c r="L149" t="n">
        <v>0</v>
      </c>
      <c r="M149" t="n">
        <v>0</v>
      </c>
      <c r="N149" t="n">
        <v>0</v>
      </c>
      <c r="O149" t="n">
        <v>0</v>
      </c>
      <c r="P149" t="n">
        <v>0</v>
      </c>
      <c r="Q149" t="n">
        <v>0</v>
      </c>
      <c r="R149" s="2" t="inlineStr"/>
    </row>
    <row r="150" ht="15" customHeight="1">
      <c r="A150" t="inlineStr">
        <is>
          <t>A 57153-2021</t>
        </is>
      </c>
      <c r="B150" s="1" t="n">
        <v>44482</v>
      </c>
      <c r="C150" s="1" t="n">
        <v>46094</v>
      </c>
      <c r="D150" t="inlineStr">
        <is>
          <t>UPPSALA LÄN</t>
        </is>
      </c>
      <c r="E150" t="inlineStr">
        <is>
          <t>ENKÖPING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30087-2024</t>
        </is>
      </c>
      <c r="B151" s="1" t="n">
        <v>45489.39447916667</v>
      </c>
      <c r="C151" s="1" t="n">
        <v>46094</v>
      </c>
      <c r="D151" t="inlineStr">
        <is>
          <t>UPPSALA LÄN</t>
        </is>
      </c>
      <c r="E151" t="inlineStr">
        <is>
          <t>ENKÖPING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54776-2024</t>
        </is>
      </c>
      <c r="B152" s="1" t="n">
        <v>45618</v>
      </c>
      <c r="C152" s="1" t="n">
        <v>46094</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43697-2024</t>
        </is>
      </c>
      <c r="B153" s="1" t="n">
        <v>45569</v>
      </c>
      <c r="C153" s="1" t="n">
        <v>46094</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22729-2025</t>
        </is>
      </c>
      <c r="B154" s="1" t="n">
        <v>45789.57790509259</v>
      </c>
      <c r="C154" s="1" t="n">
        <v>46094</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14518-2025</t>
        </is>
      </c>
      <c r="B155" s="1" t="n">
        <v>45741</v>
      </c>
      <c r="C155" s="1" t="n">
        <v>46094</v>
      </c>
      <c r="D155" t="inlineStr">
        <is>
          <t>UPPSALA LÄN</t>
        </is>
      </c>
      <c r="E155" t="inlineStr">
        <is>
          <t>ENKÖPING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22677-2025</t>
        </is>
      </c>
      <c r="B156" s="1" t="n">
        <v>45789.49515046296</v>
      </c>
      <c r="C156" s="1" t="n">
        <v>46094</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22679-2025</t>
        </is>
      </c>
      <c r="B157" s="1" t="n">
        <v>45789.49747685185</v>
      </c>
      <c r="C157" s="1" t="n">
        <v>46094</v>
      </c>
      <c r="D157" t="inlineStr">
        <is>
          <t>UPPSALA LÄN</t>
        </is>
      </c>
      <c r="E157" t="inlineStr">
        <is>
          <t>ENKÖPING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22770-2025</t>
        </is>
      </c>
      <c r="B158" s="1" t="n">
        <v>45789.63454861111</v>
      </c>
      <c r="C158" s="1" t="n">
        <v>46094</v>
      </c>
      <c r="D158" t="inlineStr">
        <is>
          <t>UPPSALA LÄN</t>
        </is>
      </c>
      <c r="E158" t="inlineStr">
        <is>
          <t>ENKÖPING</t>
        </is>
      </c>
      <c r="G158" t="n">
        <v>4.5</v>
      </c>
      <c r="H158" t="n">
        <v>0</v>
      </c>
      <c r="I158" t="n">
        <v>0</v>
      </c>
      <c r="J158" t="n">
        <v>0</v>
      </c>
      <c r="K158" t="n">
        <v>0</v>
      </c>
      <c r="L158" t="n">
        <v>0</v>
      </c>
      <c r="M158" t="n">
        <v>0</v>
      </c>
      <c r="N158" t="n">
        <v>0</v>
      </c>
      <c r="O158" t="n">
        <v>0</v>
      </c>
      <c r="P158" t="n">
        <v>0</v>
      </c>
      <c r="Q158" t="n">
        <v>0</v>
      </c>
      <c r="R158" s="2" t="inlineStr"/>
    </row>
    <row r="159" ht="15" customHeight="1">
      <c r="A159" t="inlineStr">
        <is>
          <t>A 22800-2025</t>
        </is>
      </c>
      <c r="B159" s="1" t="n">
        <v>45789.6669212963</v>
      </c>
      <c r="C159" s="1" t="n">
        <v>46094</v>
      </c>
      <c r="D159" t="inlineStr">
        <is>
          <t>UPPSALA LÄN</t>
        </is>
      </c>
      <c r="E159" t="inlineStr">
        <is>
          <t>ENKÖPING</t>
        </is>
      </c>
      <c r="G159" t="n">
        <v>2</v>
      </c>
      <c r="H159" t="n">
        <v>0</v>
      </c>
      <c r="I159" t="n">
        <v>0</v>
      </c>
      <c r="J159" t="n">
        <v>0</v>
      </c>
      <c r="K159" t="n">
        <v>0</v>
      </c>
      <c r="L159" t="n">
        <v>0</v>
      </c>
      <c r="M159" t="n">
        <v>0</v>
      </c>
      <c r="N159" t="n">
        <v>0</v>
      </c>
      <c r="O159" t="n">
        <v>0</v>
      </c>
      <c r="P159" t="n">
        <v>0</v>
      </c>
      <c r="Q159" t="n">
        <v>0</v>
      </c>
      <c r="R159" s="2" t="inlineStr"/>
    </row>
    <row r="160" ht="15" customHeight="1">
      <c r="A160" t="inlineStr">
        <is>
          <t>A 31013-2022</t>
        </is>
      </c>
      <c r="B160" s="1" t="n">
        <v>44768</v>
      </c>
      <c r="C160" s="1" t="n">
        <v>46094</v>
      </c>
      <c r="D160" t="inlineStr">
        <is>
          <t>UPPSALA LÄN</t>
        </is>
      </c>
      <c r="E160" t="inlineStr">
        <is>
          <t>ENKÖPING</t>
        </is>
      </c>
      <c r="F160" t="inlineStr">
        <is>
          <t>Allmännings- och besparingsskogar</t>
        </is>
      </c>
      <c r="G160" t="n">
        <v>0.5</v>
      </c>
      <c r="H160" t="n">
        <v>0</v>
      </c>
      <c r="I160" t="n">
        <v>0</v>
      </c>
      <c r="J160" t="n">
        <v>0</v>
      </c>
      <c r="K160" t="n">
        <v>0</v>
      </c>
      <c r="L160" t="n">
        <v>0</v>
      </c>
      <c r="M160" t="n">
        <v>0</v>
      </c>
      <c r="N160" t="n">
        <v>0</v>
      </c>
      <c r="O160" t="n">
        <v>0</v>
      </c>
      <c r="P160" t="n">
        <v>0</v>
      </c>
      <c r="Q160" t="n">
        <v>0</v>
      </c>
      <c r="R160" s="2" t="inlineStr"/>
    </row>
    <row r="161" ht="15" customHeight="1">
      <c r="A161" t="inlineStr">
        <is>
          <t>A 45283-2022</t>
        </is>
      </c>
      <c r="B161" s="1" t="n">
        <v>44844</v>
      </c>
      <c r="C161" s="1" t="n">
        <v>46094</v>
      </c>
      <c r="D161" t="inlineStr">
        <is>
          <t>UPPSALA LÄN</t>
        </is>
      </c>
      <c r="E161" t="inlineStr">
        <is>
          <t>ENKÖPING</t>
        </is>
      </c>
      <c r="G161" t="n">
        <v>5.9</v>
      </c>
      <c r="H161" t="n">
        <v>0</v>
      </c>
      <c r="I161" t="n">
        <v>0</v>
      </c>
      <c r="J161" t="n">
        <v>0</v>
      </c>
      <c r="K161" t="n">
        <v>0</v>
      </c>
      <c r="L161" t="n">
        <v>0</v>
      </c>
      <c r="M161" t="n">
        <v>0</v>
      </c>
      <c r="N161" t="n">
        <v>0</v>
      </c>
      <c r="O161" t="n">
        <v>0</v>
      </c>
      <c r="P161" t="n">
        <v>0</v>
      </c>
      <c r="Q161" t="n">
        <v>0</v>
      </c>
      <c r="R161" s="2" t="inlineStr"/>
    </row>
    <row r="162" ht="15" customHeight="1">
      <c r="A162" t="inlineStr">
        <is>
          <t>A 6981-2025</t>
        </is>
      </c>
      <c r="B162" s="1" t="n">
        <v>45701</v>
      </c>
      <c r="C162" s="1" t="n">
        <v>46094</v>
      </c>
      <c r="D162" t="inlineStr">
        <is>
          <t>UPPSALA LÄN</t>
        </is>
      </c>
      <c r="E162" t="inlineStr">
        <is>
          <t>ENKÖPING</t>
        </is>
      </c>
      <c r="G162" t="n">
        <v>0.9</v>
      </c>
      <c r="H162" t="n">
        <v>0</v>
      </c>
      <c r="I162" t="n">
        <v>0</v>
      </c>
      <c r="J162" t="n">
        <v>0</v>
      </c>
      <c r="K162" t="n">
        <v>0</v>
      </c>
      <c r="L162" t="n">
        <v>0</v>
      </c>
      <c r="M162" t="n">
        <v>0</v>
      </c>
      <c r="N162" t="n">
        <v>0</v>
      </c>
      <c r="O162" t="n">
        <v>0</v>
      </c>
      <c r="P162" t="n">
        <v>0</v>
      </c>
      <c r="Q162" t="n">
        <v>0</v>
      </c>
      <c r="R162" s="2" t="inlineStr"/>
    </row>
    <row r="163" ht="15" customHeight="1">
      <c r="A163" t="inlineStr">
        <is>
          <t>A 22786-2025</t>
        </is>
      </c>
      <c r="B163" s="1" t="n">
        <v>45789.64643518518</v>
      </c>
      <c r="C163" s="1" t="n">
        <v>46094</v>
      </c>
      <c r="D163" t="inlineStr">
        <is>
          <t>UPPSALA LÄN</t>
        </is>
      </c>
      <c r="E163" t="inlineStr">
        <is>
          <t>ENKÖPING</t>
        </is>
      </c>
      <c r="G163" t="n">
        <v>0.9</v>
      </c>
      <c r="H163" t="n">
        <v>0</v>
      </c>
      <c r="I163" t="n">
        <v>0</v>
      </c>
      <c r="J163" t="n">
        <v>0</v>
      </c>
      <c r="K163" t="n">
        <v>0</v>
      </c>
      <c r="L163" t="n">
        <v>0</v>
      </c>
      <c r="M163" t="n">
        <v>0</v>
      </c>
      <c r="N163" t="n">
        <v>0</v>
      </c>
      <c r="O163" t="n">
        <v>0</v>
      </c>
      <c r="P163" t="n">
        <v>0</v>
      </c>
      <c r="Q163" t="n">
        <v>0</v>
      </c>
      <c r="R163" s="2" t="inlineStr"/>
    </row>
    <row r="164" ht="15" customHeight="1">
      <c r="A164" t="inlineStr">
        <is>
          <t>A 41826-2024</t>
        </is>
      </c>
      <c r="B164" s="1" t="n">
        <v>45561</v>
      </c>
      <c r="C164" s="1" t="n">
        <v>46094</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2968-2025</t>
        </is>
      </c>
      <c r="B165" s="1" t="n">
        <v>45678</v>
      </c>
      <c r="C165" s="1" t="n">
        <v>46094</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68123-2021</t>
        </is>
      </c>
      <c r="B166" s="1" t="n">
        <v>44526.39126157408</v>
      </c>
      <c r="C166" s="1" t="n">
        <v>46094</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49525-2021</t>
        </is>
      </c>
      <c r="B167" s="1" t="n">
        <v>44455</v>
      </c>
      <c r="C167" s="1" t="n">
        <v>46094</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6959-2025</t>
        </is>
      </c>
      <c r="B168" s="1" t="n">
        <v>45701.49315972222</v>
      </c>
      <c r="C168" s="1" t="n">
        <v>46094</v>
      </c>
      <c r="D168" t="inlineStr">
        <is>
          <t>UPPSALA LÄN</t>
        </is>
      </c>
      <c r="E168" t="inlineStr">
        <is>
          <t>ENKÖPING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22680-2025</t>
        </is>
      </c>
      <c r="B169" s="1" t="n">
        <v>45789.5005787037</v>
      </c>
      <c r="C169" s="1" t="n">
        <v>46094</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22802-2025</t>
        </is>
      </c>
      <c r="B170" s="1" t="n">
        <v>45789.6686574074</v>
      </c>
      <c r="C170" s="1" t="n">
        <v>46094</v>
      </c>
      <c r="D170" t="inlineStr">
        <is>
          <t>UPPSALA LÄN</t>
        </is>
      </c>
      <c r="E170" t="inlineStr">
        <is>
          <t>ENKÖPING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42589-2022</t>
        </is>
      </c>
      <c r="B171" s="1" t="n">
        <v>44831</v>
      </c>
      <c r="C171" s="1" t="n">
        <v>46094</v>
      </c>
      <c r="D171" t="inlineStr">
        <is>
          <t>UPPSALA LÄN</t>
        </is>
      </c>
      <c r="E171" t="inlineStr">
        <is>
          <t>ENKÖPING</t>
        </is>
      </c>
      <c r="G171" t="n">
        <v>20</v>
      </c>
      <c r="H171" t="n">
        <v>0</v>
      </c>
      <c r="I171" t="n">
        <v>0</v>
      </c>
      <c r="J171" t="n">
        <v>0</v>
      </c>
      <c r="K171" t="n">
        <v>0</v>
      </c>
      <c r="L171" t="n">
        <v>0</v>
      </c>
      <c r="M171" t="n">
        <v>0</v>
      </c>
      <c r="N171" t="n">
        <v>0</v>
      </c>
      <c r="O171" t="n">
        <v>0</v>
      </c>
      <c r="P171" t="n">
        <v>0</v>
      </c>
      <c r="Q171" t="n">
        <v>0</v>
      </c>
      <c r="R171" s="2" t="inlineStr"/>
    </row>
    <row r="172" ht="15" customHeight="1">
      <c r="A172" t="inlineStr">
        <is>
          <t>A 22793-2025</t>
        </is>
      </c>
      <c r="B172" s="1" t="n">
        <v>45789.65693287037</v>
      </c>
      <c r="C172" s="1" t="n">
        <v>46094</v>
      </c>
      <c r="D172" t="inlineStr">
        <is>
          <t>UPPSALA LÄN</t>
        </is>
      </c>
      <c r="E172" t="inlineStr">
        <is>
          <t>ENKÖPING</t>
        </is>
      </c>
      <c r="G172" t="n">
        <v>3.2</v>
      </c>
      <c r="H172" t="n">
        <v>0</v>
      </c>
      <c r="I172" t="n">
        <v>0</v>
      </c>
      <c r="J172" t="n">
        <v>0</v>
      </c>
      <c r="K172" t="n">
        <v>0</v>
      </c>
      <c r="L172" t="n">
        <v>0</v>
      </c>
      <c r="M172" t="n">
        <v>0</v>
      </c>
      <c r="N172" t="n">
        <v>0</v>
      </c>
      <c r="O172" t="n">
        <v>0</v>
      </c>
      <c r="P172" t="n">
        <v>0</v>
      </c>
      <c r="Q172" t="n">
        <v>0</v>
      </c>
      <c r="R172" s="2" t="inlineStr"/>
    </row>
    <row r="173" ht="15" customHeight="1">
      <c r="A173" t="inlineStr">
        <is>
          <t>A 22795-2025</t>
        </is>
      </c>
      <c r="B173" s="1" t="n">
        <v>45789.65944444444</v>
      </c>
      <c r="C173" s="1" t="n">
        <v>46094</v>
      </c>
      <c r="D173" t="inlineStr">
        <is>
          <t>UPPSALA LÄN</t>
        </is>
      </c>
      <c r="E173" t="inlineStr">
        <is>
          <t>ENKÖPING</t>
        </is>
      </c>
      <c r="G173" t="n">
        <v>10.4</v>
      </c>
      <c r="H173" t="n">
        <v>0</v>
      </c>
      <c r="I173" t="n">
        <v>0</v>
      </c>
      <c r="J173" t="n">
        <v>0</v>
      </c>
      <c r="K173" t="n">
        <v>0</v>
      </c>
      <c r="L173" t="n">
        <v>0</v>
      </c>
      <c r="M173" t="n">
        <v>0</v>
      </c>
      <c r="N173" t="n">
        <v>0</v>
      </c>
      <c r="O173" t="n">
        <v>0</v>
      </c>
      <c r="P173" t="n">
        <v>0</v>
      </c>
      <c r="Q173" t="n">
        <v>0</v>
      </c>
      <c r="R173" s="2" t="inlineStr"/>
    </row>
    <row r="174" ht="15" customHeight="1">
      <c r="A174" t="inlineStr">
        <is>
          <t>A 22725-2025</t>
        </is>
      </c>
      <c r="B174" s="1" t="n">
        <v>45789.57371527778</v>
      </c>
      <c r="C174" s="1" t="n">
        <v>46094</v>
      </c>
      <c r="D174" t="inlineStr">
        <is>
          <t>UPPSALA LÄN</t>
        </is>
      </c>
      <c r="E174" t="inlineStr">
        <is>
          <t>ENKÖPING</t>
        </is>
      </c>
      <c r="G174" t="n">
        <v>4.8</v>
      </c>
      <c r="H174" t="n">
        <v>0</v>
      </c>
      <c r="I174" t="n">
        <v>0</v>
      </c>
      <c r="J174" t="n">
        <v>0</v>
      </c>
      <c r="K174" t="n">
        <v>0</v>
      </c>
      <c r="L174" t="n">
        <v>0</v>
      </c>
      <c r="M174" t="n">
        <v>0</v>
      </c>
      <c r="N174" t="n">
        <v>0</v>
      </c>
      <c r="O174" t="n">
        <v>0</v>
      </c>
      <c r="P174" t="n">
        <v>0</v>
      </c>
      <c r="Q174" t="n">
        <v>0</v>
      </c>
      <c r="R174" s="2" t="inlineStr"/>
    </row>
    <row r="175" ht="15" customHeight="1">
      <c r="A175" t="inlineStr">
        <is>
          <t>A 840-2025</t>
        </is>
      </c>
      <c r="B175" s="1" t="n">
        <v>45665</v>
      </c>
      <c r="C175" s="1" t="n">
        <v>46094</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37115-2024</t>
        </is>
      </c>
      <c r="B176" s="1" t="n">
        <v>45539</v>
      </c>
      <c r="C176" s="1" t="n">
        <v>46094</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30437-2022</t>
        </is>
      </c>
      <c r="B177" s="1" t="n">
        <v>44761</v>
      </c>
      <c r="C177" s="1" t="n">
        <v>46094</v>
      </c>
      <c r="D177" t="inlineStr">
        <is>
          <t>UPPSALA LÄN</t>
        </is>
      </c>
      <c r="E177" t="inlineStr">
        <is>
          <t>ENKÖPING</t>
        </is>
      </c>
      <c r="G177" t="n">
        <v>3.4</v>
      </c>
      <c r="H177" t="n">
        <v>0</v>
      </c>
      <c r="I177" t="n">
        <v>0</v>
      </c>
      <c r="J177" t="n">
        <v>0</v>
      </c>
      <c r="K177" t="n">
        <v>0</v>
      </c>
      <c r="L177" t="n">
        <v>0</v>
      </c>
      <c r="M177" t="n">
        <v>0</v>
      </c>
      <c r="N177" t="n">
        <v>0</v>
      </c>
      <c r="O177" t="n">
        <v>0</v>
      </c>
      <c r="P177" t="n">
        <v>0</v>
      </c>
      <c r="Q177" t="n">
        <v>0</v>
      </c>
      <c r="R177" s="2" t="inlineStr"/>
    </row>
    <row r="178" ht="15" customHeight="1">
      <c r="A178" t="inlineStr">
        <is>
          <t>A 51011-2024</t>
        </is>
      </c>
      <c r="B178" s="1" t="n">
        <v>45603.39427083333</v>
      </c>
      <c r="C178" s="1" t="n">
        <v>46094</v>
      </c>
      <c r="D178" t="inlineStr">
        <is>
          <t>UPPSALA LÄN</t>
        </is>
      </c>
      <c r="E178" t="inlineStr">
        <is>
          <t>ENKÖPING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26319-2022</t>
        </is>
      </c>
      <c r="B179" s="1" t="n">
        <v>44735</v>
      </c>
      <c r="C179" s="1" t="n">
        <v>46094</v>
      </c>
      <c r="D179" t="inlineStr">
        <is>
          <t>UPPSALA LÄN</t>
        </is>
      </c>
      <c r="E179" t="inlineStr">
        <is>
          <t>ENKÖPING</t>
        </is>
      </c>
      <c r="G179" t="n">
        <v>1.8</v>
      </c>
      <c r="H179" t="n">
        <v>0</v>
      </c>
      <c r="I179" t="n">
        <v>0</v>
      </c>
      <c r="J179" t="n">
        <v>0</v>
      </c>
      <c r="K179" t="n">
        <v>0</v>
      </c>
      <c r="L179" t="n">
        <v>0</v>
      </c>
      <c r="M179" t="n">
        <v>0</v>
      </c>
      <c r="N179" t="n">
        <v>0</v>
      </c>
      <c r="O179" t="n">
        <v>0</v>
      </c>
      <c r="P179" t="n">
        <v>0</v>
      </c>
      <c r="Q179" t="n">
        <v>0</v>
      </c>
      <c r="R179" s="2" t="inlineStr"/>
    </row>
    <row r="180" ht="15" customHeight="1">
      <c r="A180" t="inlineStr">
        <is>
          <t>A 42029-2021</t>
        </is>
      </c>
      <c r="B180" s="1" t="n">
        <v>44426</v>
      </c>
      <c r="C180" s="1" t="n">
        <v>46094</v>
      </c>
      <c r="D180" t="inlineStr">
        <is>
          <t>UPPSALA LÄN</t>
        </is>
      </c>
      <c r="E180" t="inlineStr">
        <is>
          <t>ENKÖPING</t>
        </is>
      </c>
      <c r="G180" t="n">
        <v>5.3</v>
      </c>
      <c r="H180" t="n">
        <v>0</v>
      </c>
      <c r="I180" t="n">
        <v>0</v>
      </c>
      <c r="J180" t="n">
        <v>0</v>
      </c>
      <c r="K180" t="n">
        <v>0</v>
      </c>
      <c r="L180" t="n">
        <v>0</v>
      </c>
      <c r="M180" t="n">
        <v>0</v>
      </c>
      <c r="N180" t="n">
        <v>0</v>
      </c>
      <c r="O180" t="n">
        <v>0</v>
      </c>
      <c r="P180" t="n">
        <v>0</v>
      </c>
      <c r="Q180" t="n">
        <v>0</v>
      </c>
      <c r="R180" s="2" t="inlineStr"/>
    </row>
    <row r="181" ht="15" customHeight="1">
      <c r="A181" t="inlineStr">
        <is>
          <t>A 45142-2023</t>
        </is>
      </c>
      <c r="B181" s="1" t="n">
        <v>45191.4702662037</v>
      </c>
      <c r="C181" s="1" t="n">
        <v>46094</v>
      </c>
      <c r="D181" t="inlineStr">
        <is>
          <t>UPPSALA LÄN</t>
        </is>
      </c>
      <c r="E181" t="inlineStr">
        <is>
          <t>ENKÖPING</t>
        </is>
      </c>
      <c r="G181" t="n">
        <v>1.8</v>
      </c>
      <c r="H181" t="n">
        <v>0</v>
      </c>
      <c r="I181" t="n">
        <v>0</v>
      </c>
      <c r="J181" t="n">
        <v>0</v>
      </c>
      <c r="K181" t="n">
        <v>0</v>
      </c>
      <c r="L181" t="n">
        <v>0</v>
      </c>
      <c r="M181" t="n">
        <v>0</v>
      </c>
      <c r="N181" t="n">
        <v>0</v>
      </c>
      <c r="O181" t="n">
        <v>0</v>
      </c>
      <c r="P181" t="n">
        <v>0</v>
      </c>
      <c r="Q181" t="n">
        <v>0</v>
      </c>
      <c r="R181" s="2" t="inlineStr"/>
    </row>
    <row r="182" ht="15" customHeight="1">
      <c r="A182" t="inlineStr">
        <is>
          <t>A 11918-2025</t>
        </is>
      </c>
      <c r="B182" s="1" t="n">
        <v>45728.49331018519</v>
      </c>
      <c r="C182" s="1" t="n">
        <v>46094</v>
      </c>
      <c r="D182" t="inlineStr">
        <is>
          <t>UPPSALA LÄN</t>
        </is>
      </c>
      <c r="E182" t="inlineStr">
        <is>
          <t>ENKÖPING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29918-2023</t>
        </is>
      </c>
      <c r="B183" s="1" t="n">
        <v>45099</v>
      </c>
      <c r="C183" s="1" t="n">
        <v>46094</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31242-2024</t>
        </is>
      </c>
      <c r="B184" s="1" t="n">
        <v>45503</v>
      </c>
      <c r="C184" s="1" t="n">
        <v>46094</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24291-2024</t>
        </is>
      </c>
      <c r="B185" s="1" t="n">
        <v>45457.4584837963</v>
      </c>
      <c r="C185" s="1" t="n">
        <v>46094</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845-2025</t>
        </is>
      </c>
      <c r="B186" s="1" t="n">
        <v>45665</v>
      </c>
      <c r="C186" s="1" t="n">
        <v>46094</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849-2025</t>
        </is>
      </c>
      <c r="B187" s="1" t="n">
        <v>45665</v>
      </c>
      <c r="C187" s="1" t="n">
        <v>46094</v>
      </c>
      <c r="D187" t="inlineStr">
        <is>
          <t>UPPSALA LÄN</t>
        </is>
      </c>
      <c r="E187" t="inlineStr">
        <is>
          <t>ENKÖPING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22981-2025</t>
        </is>
      </c>
      <c r="B188" s="1" t="n">
        <v>45790.56964120371</v>
      </c>
      <c r="C188" s="1" t="n">
        <v>46094</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1971-2022</t>
        </is>
      </c>
      <c r="B189" s="1" t="n">
        <v>44575</v>
      </c>
      <c r="C189" s="1" t="n">
        <v>46094</v>
      </c>
      <c r="D189" t="inlineStr">
        <is>
          <t>UPPSALA LÄN</t>
        </is>
      </c>
      <c r="E189" t="inlineStr">
        <is>
          <t>ENKÖPING</t>
        </is>
      </c>
      <c r="G189" t="n">
        <v>1.4</v>
      </c>
      <c r="H189" t="n">
        <v>0</v>
      </c>
      <c r="I189" t="n">
        <v>0</v>
      </c>
      <c r="J189" t="n">
        <v>0</v>
      </c>
      <c r="K189" t="n">
        <v>0</v>
      </c>
      <c r="L189" t="n">
        <v>0</v>
      </c>
      <c r="M189" t="n">
        <v>0</v>
      </c>
      <c r="N189" t="n">
        <v>0</v>
      </c>
      <c r="O189" t="n">
        <v>0</v>
      </c>
      <c r="P189" t="n">
        <v>0</v>
      </c>
      <c r="Q189" t="n">
        <v>0</v>
      </c>
      <c r="R189" s="2" t="inlineStr"/>
    </row>
    <row r="190" ht="15" customHeight="1">
      <c r="A190" t="inlineStr">
        <is>
          <t>A 45956-2024</t>
        </is>
      </c>
      <c r="B190" s="1" t="n">
        <v>45580</v>
      </c>
      <c r="C190" s="1" t="n">
        <v>46094</v>
      </c>
      <c r="D190" t="inlineStr">
        <is>
          <t>UPPSALA LÄN</t>
        </is>
      </c>
      <c r="E190" t="inlineStr">
        <is>
          <t>ENKÖPING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10831-2024</t>
        </is>
      </c>
      <c r="B191" s="1" t="n">
        <v>45369</v>
      </c>
      <c r="C191" s="1" t="n">
        <v>46094</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8020-2022</t>
        </is>
      </c>
      <c r="B192" s="1" t="n">
        <v>44609</v>
      </c>
      <c r="C192" s="1" t="n">
        <v>46094</v>
      </c>
      <c r="D192" t="inlineStr">
        <is>
          <t>UPPSALA LÄN</t>
        </is>
      </c>
      <c r="E192" t="inlineStr">
        <is>
          <t>ENKÖPING</t>
        </is>
      </c>
      <c r="G192" t="n">
        <v>6</v>
      </c>
      <c r="H192" t="n">
        <v>0</v>
      </c>
      <c r="I192" t="n">
        <v>0</v>
      </c>
      <c r="J192" t="n">
        <v>0</v>
      </c>
      <c r="K192" t="n">
        <v>0</v>
      </c>
      <c r="L192" t="n">
        <v>0</v>
      </c>
      <c r="M192" t="n">
        <v>0</v>
      </c>
      <c r="N192" t="n">
        <v>0</v>
      </c>
      <c r="O192" t="n">
        <v>0</v>
      </c>
      <c r="P192" t="n">
        <v>0</v>
      </c>
      <c r="Q192" t="n">
        <v>0</v>
      </c>
      <c r="R192" s="2" t="inlineStr"/>
    </row>
    <row r="193" ht="15" customHeight="1">
      <c r="A193" t="inlineStr">
        <is>
          <t>A 62158-2023</t>
        </is>
      </c>
      <c r="B193" s="1" t="n">
        <v>45267</v>
      </c>
      <c r="C193" s="1" t="n">
        <v>46094</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74090-2021</t>
        </is>
      </c>
      <c r="B194" s="1" t="n">
        <v>44557</v>
      </c>
      <c r="C194" s="1" t="n">
        <v>46094</v>
      </c>
      <c r="D194" t="inlineStr">
        <is>
          <t>UPPSALA LÄN</t>
        </is>
      </c>
      <c r="E194" t="inlineStr">
        <is>
          <t>ENKÖPING</t>
        </is>
      </c>
      <c r="G194" t="n">
        <v>2.1</v>
      </c>
      <c r="H194" t="n">
        <v>0</v>
      </c>
      <c r="I194" t="n">
        <v>0</v>
      </c>
      <c r="J194" t="n">
        <v>0</v>
      </c>
      <c r="K194" t="n">
        <v>0</v>
      </c>
      <c r="L194" t="n">
        <v>0</v>
      </c>
      <c r="M194" t="n">
        <v>0</v>
      </c>
      <c r="N194" t="n">
        <v>0</v>
      </c>
      <c r="O194" t="n">
        <v>0</v>
      </c>
      <c r="P194" t="n">
        <v>0</v>
      </c>
      <c r="Q194" t="n">
        <v>0</v>
      </c>
      <c r="R194" s="2" t="inlineStr"/>
    </row>
    <row r="195" ht="15" customHeight="1">
      <c r="A195" t="inlineStr">
        <is>
          <t>A 60350-2022</t>
        </is>
      </c>
      <c r="B195" s="1" t="n">
        <v>44910</v>
      </c>
      <c r="C195" s="1" t="n">
        <v>46094</v>
      </c>
      <c r="D195" t="inlineStr">
        <is>
          <t>UPPSALA LÄN</t>
        </is>
      </c>
      <c r="E195" t="inlineStr">
        <is>
          <t>ENKÖPING</t>
        </is>
      </c>
      <c r="F195" t="inlineStr">
        <is>
          <t>Allmännings- och besparingsskogar</t>
        </is>
      </c>
      <c r="G195" t="n">
        <v>3.5</v>
      </c>
      <c r="H195" t="n">
        <v>0</v>
      </c>
      <c r="I195" t="n">
        <v>0</v>
      </c>
      <c r="J195" t="n">
        <v>0</v>
      </c>
      <c r="K195" t="n">
        <v>0</v>
      </c>
      <c r="L195" t="n">
        <v>0</v>
      </c>
      <c r="M195" t="n">
        <v>0</v>
      </c>
      <c r="N195" t="n">
        <v>0</v>
      </c>
      <c r="O195" t="n">
        <v>0</v>
      </c>
      <c r="P195" t="n">
        <v>0</v>
      </c>
      <c r="Q195" t="n">
        <v>0</v>
      </c>
      <c r="R195" s="2" t="inlineStr"/>
    </row>
    <row r="196" ht="15" customHeight="1">
      <c r="A196" t="inlineStr">
        <is>
          <t>A 34805-2024</t>
        </is>
      </c>
      <c r="B196" s="1" t="n">
        <v>45526</v>
      </c>
      <c r="C196" s="1" t="n">
        <v>46094</v>
      </c>
      <c r="D196" t="inlineStr">
        <is>
          <t>UPPSALA LÄN</t>
        </is>
      </c>
      <c r="E196" t="inlineStr">
        <is>
          <t>ENKÖPING</t>
        </is>
      </c>
      <c r="G196" t="n">
        <v>3.6</v>
      </c>
      <c r="H196" t="n">
        <v>0</v>
      </c>
      <c r="I196" t="n">
        <v>0</v>
      </c>
      <c r="J196" t="n">
        <v>0</v>
      </c>
      <c r="K196" t="n">
        <v>0</v>
      </c>
      <c r="L196" t="n">
        <v>0</v>
      </c>
      <c r="M196" t="n">
        <v>0</v>
      </c>
      <c r="N196" t="n">
        <v>0</v>
      </c>
      <c r="O196" t="n">
        <v>0</v>
      </c>
      <c r="P196" t="n">
        <v>0</v>
      </c>
      <c r="Q196" t="n">
        <v>0</v>
      </c>
      <c r="R196" s="2" t="inlineStr"/>
    </row>
    <row r="197" ht="15" customHeight="1">
      <c r="A197" t="inlineStr">
        <is>
          <t>A 17729-2023</t>
        </is>
      </c>
      <c r="B197" s="1" t="n">
        <v>45037</v>
      </c>
      <c r="C197" s="1" t="n">
        <v>46094</v>
      </c>
      <c r="D197" t="inlineStr">
        <is>
          <t>UPPSALA LÄN</t>
        </is>
      </c>
      <c r="E197" t="inlineStr">
        <is>
          <t>ENKÖPING</t>
        </is>
      </c>
      <c r="G197" t="n">
        <v>10.2</v>
      </c>
      <c r="H197" t="n">
        <v>0</v>
      </c>
      <c r="I197" t="n">
        <v>0</v>
      </c>
      <c r="J197" t="n">
        <v>0</v>
      </c>
      <c r="K197" t="n">
        <v>0</v>
      </c>
      <c r="L197" t="n">
        <v>0</v>
      </c>
      <c r="M197" t="n">
        <v>0</v>
      </c>
      <c r="N197" t="n">
        <v>0</v>
      </c>
      <c r="O197" t="n">
        <v>0</v>
      </c>
      <c r="P197" t="n">
        <v>0</v>
      </c>
      <c r="Q197" t="n">
        <v>0</v>
      </c>
      <c r="R197" s="2" t="inlineStr"/>
    </row>
    <row r="198" ht="15" customHeight="1">
      <c r="A198" t="inlineStr">
        <is>
          <t>A 35647-2021</t>
        </is>
      </c>
      <c r="B198" s="1" t="n">
        <v>44386</v>
      </c>
      <c r="C198" s="1" t="n">
        <v>46094</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5712-2025</t>
        </is>
      </c>
      <c r="B199" s="1" t="n">
        <v>45694</v>
      </c>
      <c r="C199" s="1" t="n">
        <v>46094</v>
      </c>
      <c r="D199" t="inlineStr">
        <is>
          <t>UPPSALA LÄN</t>
        </is>
      </c>
      <c r="E199" t="inlineStr">
        <is>
          <t>ENKÖPING</t>
        </is>
      </c>
      <c r="G199" t="n">
        <v>5.1</v>
      </c>
      <c r="H199" t="n">
        <v>0</v>
      </c>
      <c r="I199" t="n">
        <v>0</v>
      </c>
      <c r="J199" t="n">
        <v>0</v>
      </c>
      <c r="K199" t="n">
        <v>0</v>
      </c>
      <c r="L199" t="n">
        <v>0</v>
      </c>
      <c r="M199" t="n">
        <v>0</v>
      </c>
      <c r="N199" t="n">
        <v>0</v>
      </c>
      <c r="O199" t="n">
        <v>0</v>
      </c>
      <c r="P199" t="n">
        <v>0</v>
      </c>
      <c r="Q199" t="n">
        <v>0</v>
      </c>
      <c r="R199" s="2" t="inlineStr"/>
    </row>
    <row r="200" ht="15" customHeight="1">
      <c r="A200" t="inlineStr">
        <is>
          <t>A 5749-2025</t>
        </is>
      </c>
      <c r="B200" s="1" t="n">
        <v>45694</v>
      </c>
      <c r="C200" s="1" t="n">
        <v>46094</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2833-2025</t>
        </is>
      </c>
      <c r="B201" s="1" t="n">
        <v>45677.63206018518</v>
      </c>
      <c r="C201" s="1" t="n">
        <v>46094</v>
      </c>
      <c r="D201" t="inlineStr">
        <is>
          <t>UPPSALA LÄN</t>
        </is>
      </c>
      <c r="E201" t="inlineStr">
        <is>
          <t>ENKÖPING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314-2025</t>
        </is>
      </c>
      <c r="B202" s="1" t="n">
        <v>45656</v>
      </c>
      <c r="C202" s="1" t="n">
        <v>46094</v>
      </c>
      <c r="D202" t="inlineStr">
        <is>
          <t>UPPSALA LÄN</t>
        </is>
      </c>
      <c r="E202" t="inlineStr">
        <is>
          <t>ENKÖPING</t>
        </is>
      </c>
      <c r="G202" t="n">
        <v>9</v>
      </c>
      <c r="H202" t="n">
        <v>0</v>
      </c>
      <c r="I202" t="n">
        <v>0</v>
      </c>
      <c r="J202" t="n">
        <v>0</v>
      </c>
      <c r="K202" t="n">
        <v>0</v>
      </c>
      <c r="L202" t="n">
        <v>0</v>
      </c>
      <c r="M202" t="n">
        <v>0</v>
      </c>
      <c r="N202" t="n">
        <v>0</v>
      </c>
      <c r="O202" t="n">
        <v>0</v>
      </c>
      <c r="P202" t="n">
        <v>0</v>
      </c>
      <c r="Q202" t="n">
        <v>0</v>
      </c>
      <c r="R202" s="2" t="inlineStr"/>
    </row>
    <row r="203" ht="15" customHeight="1">
      <c r="A203" t="inlineStr">
        <is>
          <t>A 21017-2023</t>
        </is>
      </c>
      <c r="B203" s="1" t="n">
        <v>45061</v>
      </c>
      <c r="C203" s="1" t="n">
        <v>46094</v>
      </c>
      <c r="D203" t="inlineStr">
        <is>
          <t>UPPSALA LÄN</t>
        </is>
      </c>
      <c r="E203" t="inlineStr">
        <is>
          <t>ENKÖPING</t>
        </is>
      </c>
      <c r="G203" t="n">
        <v>4.8</v>
      </c>
      <c r="H203" t="n">
        <v>0</v>
      </c>
      <c r="I203" t="n">
        <v>0</v>
      </c>
      <c r="J203" t="n">
        <v>0</v>
      </c>
      <c r="K203" t="n">
        <v>0</v>
      </c>
      <c r="L203" t="n">
        <v>0</v>
      </c>
      <c r="M203" t="n">
        <v>0</v>
      </c>
      <c r="N203" t="n">
        <v>0</v>
      </c>
      <c r="O203" t="n">
        <v>0</v>
      </c>
      <c r="P203" t="n">
        <v>0</v>
      </c>
      <c r="Q203" t="n">
        <v>0</v>
      </c>
      <c r="R203" s="2" t="inlineStr"/>
    </row>
    <row r="204" ht="15" customHeight="1">
      <c r="A204" t="inlineStr">
        <is>
          <t>A 11627-2025</t>
        </is>
      </c>
      <c r="B204" s="1" t="n">
        <v>45727</v>
      </c>
      <c r="C204" s="1" t="n">
        <v>46094</v>
      </c>
      <c r="D204" t="inlineStr">
        <is>
          <t>UPPSALA LÄN</t>
        </is>
      </c>
      <c r="E204" t="inlineStr">
        <is>
          <t>ENKÖPING</t>
        </is>
      </c>
      <c r="G204" t="n">
        <v>5.5</v>
      </c>
      <c r="H204" t="n">
        <v>0</v>
      </c>
      <c r="I204" t="n">
        <v>0</v>
      </c>
      <c r="J204" t="n">
        <v>0</v>
      </c>
      <c r="K204" t="n">
        <v>0</v>
      </c>
      <c r="L204" t="n">
        <v>0</v>
      </c>
      <c r="M204" t="n">
        <v>0</v>
      </c>
      <c r="N204" t="n">
        <v>0</v>
      </c>
      <c r="O204" t="n">
        <v>0</v>
      </c>
      <c r="P204" t="n">
        <v>0</v>
      </c>
      <c r="Q204" t="n">
        <v>0</v>
      </c>
      <c r="R204" s="2" t="inlineStr"/>
    </row>
    <row r="205" ht="15" customHeight="1">
      <c r="A205" t="inlineStr">
        <is>
          <t>A 50006-2023</t>
        </is>
      </c>
      <c r="B205" s="1" t="n">
        <v>45215</v>
      </c>
      <c r="C205" s="1" t="n">
        <v>46094</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56526-2022</t>
        </is>
      </c>
      <c r="B206" s="1" t="n">
        <v>44893</v>
      </c>
      <c r="C206" s="1" t="n">
        <v>46094</v>
      </c>
      <c r="D206" t="inlineStr">
        <is>
          <t>UPPSALA LÄN</t>
        </is>
      </c>
      <c r="E206" t="inlineStr">
        <is>
          <t>ENKÖPING</t>
        </is>
      </c>
      <c r="G206" t="n">
        <v>3.8</v>
      </c>
      <c r="H206" t="n">
        <v>0</v>
      </c>
      <c r="I206" t="n">
        <v>0</v>
      </c>
      <c r="J206" t="n">
        <v>0</v>
      </c>
      <c r="K206" t="n">
        <v>0</v>
      </c>
      <c r="L206" t="n">
        <v>0</v>
      </c>
      <c r="M206" t="n">
        <v>0</v>
      </c>
      <c r="N206" t="n">
        <v>0</v>
      </c>
      <c r="O206" t="n">
        <v>0</v>
      </c>
      <c r="P206" t="n">
        <v>0</v>
      </c>
      <c r="Q206" t="n">
        <v>0</v>
      </c>
      <c r="R206" s="2" t="inlineStr"/>
    </row>
    <row r="207" ht="15" customHeight="1">
      <c r="A207" t="inlineStr">
        <is>
          <t>A 24411-2024</t>
        </is>
      </c>
      <c r="B207" s="1" t="n">
        <v>45457</v>
      </c>
      <c r="C207" s="1" t="n">
        <v>46094</v>
      </c>
      <c r="D207" t="inlineStr">
        <is>
          <t>UPPSALA LÄN</t>
        </is>
      </c>
      <c r="E207" t="inlineStr">
        <is>
          <t>ENKÖPING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39858-2024</t>
        </is>
      </c>
      <c r="B208" s="1" t="n">
        <v>45553</v>
      </c>
      <c r="C208" s="1" t="n">
        <v>46094</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60289-2022</t>
        </is>
      </c>
      <c r="B209" s="1" t="n">
        <v>44910.53026620371</v>
      </c>
      <c r="C209" s="1" t="n">
        <v>46094</v>
      </c>
      <c r="D209" t="inlineStr">
        <is>
          <t>UPPSALA LÄN</t>
        </is>
      </c>
      <c r="E209" t="inlineStr">
        <is>
          <t>ENKÖPING</t>
        </is>
      </c>
      <c r="G209" t="n">
        <v>3.2</v>
      </c>
      <c r="H209" t="n">
        <v>0</v>
      </c>
      <c r="I209" t="n">
        <v>0</v>
      </c>
      <c r="J209" t="n">
        <v>0</v>
      </c>
      <c r="K209" t="n">
        <v>0</v>
      </c>
      <c r="L209" t="n">
        <v>0</v>
      </c>
      <c r="M209" t="n">
        <v>0</v>
      </c>
      <c r="N209" t="n">
        <v>0</v>
      </c>
      <c r="O209" t="n">
        <v>0</v>
      </c>
      <c r="P209" t="n">
        <v>0</v>
      </c>
      <c r="Q209" t="n">
        <v>0</v>
      </c>
      <c r="R209" s="2" t="inlineStr"/>
    </row>
    <row r="210" ht="15" customHeight="1">
      <c r="A210" t="inlineStr">
        <is>
          <t>A 10458-2022</t>
        </is>
      </c>
      <c r="B210" s="1" t="n">
        <v>44623.56711805556</v>
      </c>
      <c r="C210" s="1" t="n">
        <v>46094</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13110-2023</t>
        </is>
      </c>
      <c r="B211" s="1" t="n">
        <v>45001</v>
      </c>
      <c r="C211" s="1" t="n">
        <v>46094</v>
      </c>
      <c r="D211" t="inlineStr">
        <is>
          <t>UPPSALA LÄN</t>
        </is>
      </c>
      <c r="E211" t="inlineStr">
        <is>
          <t>ENKÖPING</t>
        </is>
      </c>
      <c r="G211" t="n">
        <v>2.5</v>
      </c>
      <c r="H211" t="n">
        <v>0</v>
      </c>
      <c r="I211" t="n">
        <v>0</v>
      </c>
      <c r="J211" t="n">
        <v>0</v>
      </c>
      <c r="K211" t="n">
        <v>0</v>
      </c>
      <c r="L211" t="n">
        <v>0</v>
      </c>
      <c r="M211" t="n">
        <v>0</v>
      </c>
      <c r="N211" t="n">
        <v>0</v>
      </c>
      <c r="O211" t="n">
        <v>0</v>
      </c>
      <c r="P211" t="n">
        <v>0</v>
      </c>
      <c r="Q211" t="n">
        <v>0</v>
      </c>
      <c r="R211" s="2" t="inlineStr"/>
    </row>
    <row r="212" ht="15" customHeight="1">
      <c r="A212" t="inlineStr">
        <is>
          <t>A 58384-2022</t>
        </is>
      </c>
      <c r="B212" s="1" t="n">
        <v>44901</v>
      </c>
      <c r="C212" s="1" t="n">
        <v>46094</v>
      </c>
      <c r="D212" t="inlineStr">
        <is>
          <t>UPPSALA LÄN</t>
        </is>
      </c>
      <c r="E212" t="inlineStr">
        <is>
          <t>ENKÖPING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59602-2022</t>
        </is>
      </c>
      <c r="B213" s="1" t="n">
        <v>44907.72241898148</v>
      </c>
      <c r="C213" s="1" t="n">
        <v>46094</v>
      </c>
      <c r="D213" t="inlineStr">
        <is>
          <t>UPPSALA LÄN</t>
        </is>
      </c>
      <c r="E213" t="inlineStr">
        <is>
          <t>ENKÖPING</t>
        </is>
      </c>
      <c r="G213" t="n">
        <v>14.2</v>
      </c>
      <c r="H213" t="n">
        <v>0</v>
      </c>
      <c r="I213" t="n">
        <v>0</v>
      </c>
      <c r="J213" t="n">
        <v>0</v>
      </c>
      <c r="K213" t="n">
        <v>0</v>
      </c>
      <c r="L213" t="n">
        <v>0</v>
      </c>
      <c r="M213" t="n">
        <v>0</v>
      </c>
      <c r="N213" t="n">
        <v>0</v>
      </c>
      <c r="O213" t="n">
        <v>0</v>
      </c>
      <c r="P213" t="n">
        <v>0</v>
      </c>
      <c r="Q213" t="n">
        <v>0</v>
      </c>
      <c r="R213" s="2" t="inlineStr"/>
    </row>
    <row r="214" ht="15" customHeight="1">
      <c r="A214" t="inlineStr">
        <is>
          <t>A 44115-2024</t>
        </is>
      </c>
      <c r="B214" s="1" t="n">
        <v>45572</v>
      </c>
      <c r="C214" s="1" t="n">
        <v>46094</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31965-2021</t>
        </is>
      </c>
      <c r="B215" s="1" t="n">
        <v>44370.56901620371</v>
      </c>
      <c r="C215" s="1" t="n">
        <v>46094</v>
      </c>
      <c r="D215" t="inlineStr">
        <is>
          <t>UPPSALA LÄN</t>
        </is>
      </c>
      <c r="E215" t="inlineStr">
        <is>
          <t>ENKÖPING</t>
        </is>
      </c>
      <c r="G215" t="n">
        <v>0.9</v>
      </c>
      <c r="H215" t="n">
        <v>0</v>
      </c>
      <c r="I215" t="n">
        <v>0</v>
      </c>
      <c r="J215" t="n">
        <v>0</v>
      </c>
      <c r="K215" t="n">
        <v>0</v>
      </c>
      <c r="L215" t="n">
        <v>0</v>
      </c>
      <c r="M215" t="n">
        <v>0</v>
      </c>
      <c r="N215" t="n">
        <v>0</v>
      </c>
      <c r="O215" t="n">
        <v>0</v>
      </c>
      <c r="P215" t="n">
        <v>0</v>
      </c>
      <c r="Q215" t="n">
        <v>0</v>
      </c>
      <c r="R215" s="2" t="inlineStr"/>
    </row>
    <row r="216" ht="15" customHeight="1">
      <c r="A216" t="inlineStr">
        <is>
          <t>A 9957-2023</t>
        </is>
      </c>
      <c r="B216" s="1" t="n">
        <v>44978</v>
      </c>
      <c r="C216" s="1" t="n">
        <v>46094</v>
      </c>
      <c r="D216" t="inlineStr">
        <is>
          <t>UPPSALA LÄN</t>
        </is>
      </c>
      <c r="E216" t="inlineStr">
        <is>
          <t>ENKÖPING</t>
        </is>
      </c>
      <c r="G216" t="n">
        <v>5.9</v>
      </c>
      <c r="H216" t="n">
        <v>0</v>
      </c>
      <c r="I216" t="n">
        <v>0</v>
      </c>
      <c r="J216" t="n">
        <v>0</v>
      </c>
      <c r="K216" t="n">
        <v>0</v>
      </c>
      <c r="L216" t="n">
        <v>0</v>
      </c>
      <c r="M216" t="n">
        <v>0</v>
      </c>
      <c r="N216" t="n">
        <v>0</v>
      </c>
      <c r="O216" t="n">
        <v>0</v>
      </c>
      <c r="P216" t="n">
        <v>0</v>
      </c>
      <c r="Q216" t="n">
        <v>0</v>
      </c>
      <c r="R216" s="2" t="inlineStr"/>
    </row>
    <row r="217" ht="15" customHeight="1">
      <c r="A217" t="inlineStr">
        <is>
          <t>A 67984-2021</t>
        </is>
      </c>
      <c r="B217" s="1" t="n">
        <v>44525.70237268518</v>
      </c>
      <c r="C217" s="1" t="n">
        <v>46094</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33619-2022</t>
        </is>
      </c>
      <c r="B218" s="1" t="n">
        <v>44789</v>
      </c>
      <c r="C218" s="1" t="n">
        <v>46094</v>
      </c>
      <c r="D218" t="inlineStr">
        <is>
          <t>UPPSALA LÄN</t>
        </is>
      </c>
      <c r="E218" t="inlineStr">
        <is>
          <t>ENKÖPING</t>
        </is>
      </c>
      <c r="F218" t="inlineStr">
        <is>
          <t>Allmännings- och besparingsskogar</t>
        </is>
      </c>
      <c r="G218" t="n">
        <v>4.5</v>
      </c>
      <c r="H218" t="n">
        <v>0</v>
      </c>
      <c r="I218" t="n">
        <v>0</v>
      </c>
      <c r="J218" t="n">
        <v>0</v>
      </c>
      <c r="K218" t="n">
        <v>0</v>
      </c>
      <c r="L218" t="n">
        <v>0</v>
      </c>
      <c r="M218" t="n">
        <v>0</v>
      </c>
      <c r="N218" t="n">
        <v>0</v>
      </c>
      <c r="O218" t="n">
        <v>0</v>
      </c>
      <c r="P218" t="n">
        <v>0</v>
      </c>
      <c r="Q218" t="n">
        <v>0</v>
      </c>
      <c r="R218" s="2" t="inlineStr"/>
    </row>
    <row r="219" ht="15" customHeight="1">
      <c r="A219" t="inlineStr">
        <is>
          <t>A 63402-2023</t>
        </is>
      </c>
      <c r="B219" s="1" t="n">
        <v>45274.50646990741</v>
      </c>
      <c r="C219" s="1" t="n">
        <v>46094</v>
      </c>
      <c r="D219" t="inlineStr">
        <is>
          <t>UPPSALA LÄN</t>
        </is>
      </c>
      <c r="E219" t="inlineStr">
        <is>
          <t>ENKÖPING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58092-2024</t>
        </is>
      </c>
      <c r="B220" s="1" t="n">
        <v>45632</v>
      </c>
      <c r="C220" s="1" t="n">
        <v>46094</v>
      </c>
      <c r="D220" t="inlineStr">
        <is>
          <t>UPPSALA LÄN</t>
        </is>
      </c>
      <c r="E220" t="inlineStr">
        <is>
          <t>ENKÖPING</t>
        </is>
      </c>
      <c r="G220" t="n">
        <v>4.8</v>
      </c>
      <c r="H220" t="n">
        <v>0</v>
      </c>
      <c r="I220" t="n">
        <v>0</v>
      </c>
      <c r="J220" t="n">
        <v>0</v>
      </c>
      <c r="K220" t="n">
        <v>0</v>
      </c>
      <c r="L220" t="n">
        <v>0</v>
      </c>
      <c r="M220" t="n">
        <v>0</v>
      </c>
      <c r="N220" t="n">
        <v>0</v>
      </c>
      <c r="O220" t="n">
        <v>0</v>
      </c>
      <c r="P220" t="n">
        <v>0</v>
      </c>
      <c r="Q220" t="n">
        <v>0</v>
      </c>
      <c r="R220" s="2" t="inlineStr"/>
    </row>
    <row r="221" ht="15" customHeight="1">
      <c r="A221" t="inlineStr">
        <is>
          <t>A 10829-2024</t>
        </is>
      </c>
      <c r="B221" s="1" t="n">
        <v>45369</v>
      </c>
      <c r="C221" s="1" t="n">
        <v>46094</v>
      </c>
      <c r="D221" t="inlineStr">
        <is>
          <t>UPPSALA LÄN</t>
        </is>
      </c>
      <c r="E221" t="inlineStr">
        <is>
          <t>ENKÖPING</t>
        </is>
      </c>
      <c r="G221" t="n">
        <v>2.1</v>
      </c>
      <c r="H221" t="n">
        <v>0</v>
      </c>
      <c r="I221" t="n">
        <v>0</v>
      </c>
      <c r="J221" t="n">
        <v>0</v>
      </c>
      <c r="K221" t="n">
        <v>0</v>
      </c>
      <c r="L221" t="n">
        <v>0</v>
      </c>
      <c r="M221" t="n">
        <v>0</v>
      </c>
      <c r="N221" t="n">
        <v>0</v>
      </c>
      <c r="O221" t="n">
        <v>0</v>
      </c>
      <c r="P221" t="n">
        <v>0</v>
      </c>
      <c r="Q221" t="n">
        <v>0</v>
      </c>
      <c r="R221" s="2" t="inlineStr"/>
    </row>
    <row r="222" ht="15" customHeight="1">
      <c r="A222" t="inlineStr">
        <is>
          <t>A 16916-2023</t>
        </is>
      </c>
      <c r="B222" s="1" t="n">
        <v>45033.58347222222</v>
      </c>
      <c r="C222" s="1" t="n">
        <v>46094</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56886-2023</t>
        </is>
      </c>
      <c r="B223" s="1" t="n">
        <v>45239</v>
      </c>
      <c r="C223" s="1" t="n">
        <v>46094</v>
      </c>
      <c r="D223" t="inlineStr">
        <is>
          <t>UPPSALA LÄN</t>
        </is>
      </c>
      <c r="E223" t="inlineStr">
        <is>
          <t>ENKÖPING</t>
        </is>
      </c>
      <c r="G223" t="n">
        <v>2</v>
      </c>
      <c r="H223" t="n">
        <v>0</v>
      </c>
      <c r="I223" t="n">
        <v>0</v>
      </c>
      <c r="J223" t="n">
        <v>0</v>
      </c>
      <c r="K223" t="n">
        <v>0</v>
      </c>
      <c r="L223" t="n">
        <v>0</v>
      </c>
      <c r="M223" t="n">
        <v>0</v>
      </c>
      <c r="N223" t="n">
        <v>0</v>
      </c>
      <c r="O223" t="n">
        <v>0</v>
      </c>
      <c r="P223" t="n">
        <v>0</v>
      </c>
      <c r="Q223" t="n">
        <v>0</v>
      </c>
      <c r="R223" s="2" t="inlineStr"/>
    </row>
    <row r="224" ht="15" customHeight="1">
      <c r="A224" t="inlineStr">
        <is>
          <t>A 26024-2025</t>
        </is>
      </c>
      <c r="B224" s="1" t="n">
        <v>45804.6831712963</v>
      </c>
      <c r="C224" s="1" t="n">
        <v>46094</v>
      </c>
      <c r="D224" t="inlineStr">
        <is>
          <t>UPPSALA LÄN</t>
        </is>
      </c>
      <c r="E224" t="inlineStr">
        <is>
          <t>ENKÖPING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26042-2025</t>
        </is>
      </c>
      <c r="B225" s="1" t="n">
        <v>45804.70018518518</v>
      </c>
      <c r="C225" s="1" t="n">
        <v>46094</v>
      </c>
      <c r="D225" t="inlineStr">
        <is>
          <t>UPPSALA LÄN</t>
        </is>
      </c>
      <c r="E225" t="inlineStr">
        <is>
          <t>ENKÖPING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26005-2025</t>
        </is>
      </c>
      <c r="B226" s="1" t="n">
        <v>45804.67055555555</v>
      </c>
      <c r="C226" s="1" t="n">
        <v>46094</v>
      </c>
      <c r="D226" t="inlineStr">
        <is>
          <t>UPPSALA LÄN</t>
        </is>
      </c>
      <c r="E226" t="inlineStr">
        <is>
          <t>ENKÖPING</t>
        </is>
      </c>
      <c r="G226" t="n">
        <v>0.3</v>
      </c>
      <c r="H226" t="n">
        <v>0</v>
      </c>
      <c r="I226" t="n">
        <v>0</v>
      </c>
      <c r="J226" t="n">
        <v>0</v>
      </c>
      <c r="K226" t="n">
        <v>0</v>
      </c>
      <c r="L226" t="n">
        <v>0</v>
      </c>
      <c r="M226" t="n">
        <v>0</v>
      </c>
      <c r="N226" t="n">
        <v>0</v>
      </c>
      <c r="O226" t="n">
        <v>0</v>
      </c>
      <c r="P226" t="n">
        <v>0</v>
      </c>
      <c r="Q226" t="n">
        <v>0</v>
      </c>
      <c r="R226" s="2" t="inlineStr"/>
    </row>
    <row r="227" ht="15" customHeight="1">
      <c r="A227" t="inlineStr">
        <is>
          <t>A 26026-2025</t>
        </is>
      </c>
      <c r="B227" s="1" t="n">
        <v>45804.68510416667</v>
      </c>
      <c r="C227" s="1" t="n">
        <v>46094</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26030-2025</t>
        </is>
      </c>
      <c r="B228" s="1" t="n">
        <v>45804.68815972222</v>
      </c>
      <c r="C228" s="1" t="n">
        <v>46094</v>
      </c>
      <c r="D228" t="inlineStr">
        <is>
          <t>UPPSALA LÄN</t>
        </is>
      </c>
      <c r="E228" t="inlineStr">
        <is>
          <t>ENKÖPING</t>
        </is>
      </c>
      <c r="G228" t="n">
        <v>0.3</v>
      </c>
      <c r="H228" t="n">
        <v>0</v>
      </c>
      <c r="I228" t="n">
        <v>0</v>
      </c>
      <c r="J228" t="n">
        <v>0</v>
      </c>
      <c r="K228" t="n">
        <v>0</v>
      </c>
      <c r="L228" t="n">
        <v>0</v>
      </c>
      <c r="M228" t="n">
        <v>0</v>
      </c>
      <c r="N228" t="n">
        <v>0</v>
      </c>
      <c r="O228" t="n">
        <v>0</v>
      </c>
      <c r="P228" t="n">
        <v>0</v>
      </c>
      <c r="Q228" t="n">
        <v>0</v>
      </c>
      <c r="R228" s="2" t="inlineStr"/>
    </row>
    <row r="229" ht="15" customHeight="1">
      <c r="A229" t="inlineStr">
        <is>
          <t>A 26022-2025</t>
        </is>
      </c>
      <c r="B229" s="1" t="n">
        <v>45804.68006944445</v>
      </c>
      <c r="C229" s="1" t="n">
        <v>46094</v>
      </c>
      <c r="D229" t="inlineStr">
        <is>
          <t>UPPSALA LÄN</t>
        </is>
      </c>
      <c r="E229" t="inlineStr">
        <is>
          <t>ENKÖPING</t>
        </is>
      </c>
      <c r="G229" t="n">
        <v>0.7</v>
      </c>
      <c r="H229" t="n">
        <v>0</v>
      </c>
      <c r="I229" t="n">
        <v>0</v>
      </c>
      <c r="J229" t="n">
        <v>0</v>
      </c>
      <c r="K229" t="n">
        <v>0</v>
      </c>
      <c r="L229" t="n">
        <v>0</v>
      </c>
      <c r="M229" t="n">
        <v>0</v>
      </c>
      <c r="N229" t="n">
        <v>0</v>
      </c>
      <c r="O229" t="n">
        <v>0</v>
      </c>
      <c r="P229" t="n">
        <v>0</v>
      </c>
      <c r="Q229" t="n">
        <v>0</v>
      </c>
      <c r="R229" s="2" t="inlineStr"/>
    </row>
    <row r="230" ht="15" customHeight="1">
      <c r="A230" t="inlineStr">
        <is>
          <t>A 25988-2025</t>
        </is>
      </c>
      <c r="B230" s="1" t="n">
        <v>45804.64814814815</v>
      </c>
      <c r="C230" s="1" t="n">
        <v>46094</v>
      </c>
      <c r="D230" t="inlineStr">
        <is>
          <t>UPPSALA LÄN</t>
        </is>
      </c>
      <c r="E230" t="inlineStr">
        <is>
          <t>ENKÖPING</t>
        </is>
      </c>
      <c r="G230" t="n">
        <v>4.7</v>
      </c>
      <c r="H230" t="n">
        <v>0</v>
      </c>
      <c r="I230" t="n">
        <v>0</v>
      </c>
      <c r="J230" t="n">
        <v>0</v>
      </c>
      <c r="K230" t="n">
        <v>0</v>
      </c>
      <c r="L230" t="n">
        <v>0</v>
      </c>
      <c r="M230" t="n">
        <v>0</v>
      </c>
      <c r="N230" t="n">
        <v>0</v>
      </c>
      <c r="O230" t="n">
        <v>0</v>
      </c>
      <c r="P230" t="n">
        <v>0</v>
      </c>
      <c r="Q230" t="n">
        <v>0</v>
      </c>
      <c r="R230" s="2" t="inlineStr"/>
    </row>
    <row r="231" ht="15" customHeight="1">
      <c r="A231" t="inlineStr">
        <is>
          <t>A 56176-2021</t>
        </is>
      </c>
      <c r="B231" s="1" t="n">
        <v>44477</v>
      </c>
      <c r="C231" s="1" t="n">
        <v>46094</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26031-2025</t>
        </is>
      </c>
      <c r="B232" s="1" t="n">
        <v>45804.69050925926</v>
      </c>
      <c r="C232" s="1" t="n">
        <v>46094</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67982-2021</t>
        </is>
      </c>
      <c r="B233" s="1" t="n">
        <v>44525</v>
      </c>
      <c r="C233" s="1" t="n">
        <v>46094</v>
      </c>
      <c r="D233" t="inlineStr">
        <is>
          <t>UPPSALA LÄN</t>
        </is>
      </c>
      <c r="E233" t="inlineStr">
        <is>
          <t>ENKÖPING</t>
        </is>
      </c>
      <c r="G233" t="n">
        <v>1.7</v>
      </c>
      <c r="H233" t="n">
        <v>0</v>
      </c>
      <c r="I233" t="n">
        <v>0</v>
      </c>
      <c r="J233" t="n">
        <v>0</v>
      </c>
      <c r="K233" t="n">
        <v>0</v>
      </c>
      <c r="L233" t="n">
        <v>0</v>
      </c>
      <c r="M233" t="n">
        <v>0</v>
      </c>
      <c r="N233" t="n">
        <v>0</v>
      </c>
      <c r="O233" t="n">
        <v>0</v>
      </c>
      <c r="P233" t="n">
        <v>0</v>
      </c>
      <c r="Q233" t="n">
        <v>0</v>
      </c>
      <c r="R233" s="2" t="inlineStr"/>
    </row>
    <row r="234" ht="15" customHeight="1">
      <c r="A234" t="inlineStr">
        <is>
          <t>A 26041-2025</t>
        </is>
      </c>
      <c r="B234" s="1" t="n">
        <v>45804.69883101852</v>
      </c>
      <c r="C234" s="1" t="n">
        <v>46094</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25847-2025</t>
        </is>
      </c>
      <c r="B235" s="1" t="n">
        <v>45804</v>
      </c>
      <c r="C235" s="1" t="n">
        <v>46094</v>
      </c>
      <c r="D235" t="inlineStr">
        <is>
          <t>UPPSALA LÄN</t>
        </is>
      </c>
      <c r="E235" t="inlineStr">
        <is>
          <t>ENKÖPING</t>
        </is>
      </c>
      <c r="G235" t="n">
        <v>3.6</v>
      </c>
      <c r="H235" t="n">
        <v>0</v>
      </c>
      <c r="I235" t="n">
        <v>0</v>
      </c>
      <c r="J235" t="n">
        <v>0</v>
      </c>
      <c r="K235" t="n">
        <v>0</v>
      </c>
      <c r="L235" t="n">
        <v>0</v>
      </c>
      <c r="M235" t="n">
        <v>0</v>
      </c>
      <c r="N235" t="n">
        <v>0</v>
      </c>
      <c r="O235" t="n">
        <v>0</v>
      </c>
      <c r="P235" t="n">
        <v>0</v>
      </c>
      <c r="Q235" t="n">
        <v>0</v>
      </c>
      <c r="R235" s="2" t="inlineStr"/>
    </row>
    <row r="236" ht="15" customHeight="1">
      <c r="A236" t="inlineStr">
        <is>
          <t>A 51034-2024</t>
        </is>
      </c>
      <c r="B236" s="1" t="n">
        <v>45603.4262037037</v>
      </c>
      <c r="C236" s="1" t="n">
        <v>46094</v>
      </c>
      <c r="D236" t="inlineStr">
        <is>
          <t>UPPSALA LÄN</t>
        </is>
      </c>
      <c r="E236" t="inlineStr">
        <is>
          <t>ENKÖPING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51036-2024</t>
        </is>
      </c>
      <c r="B237" s="1" t="n">
        <v>45603.42839120371</v>
      </c>
      <c r="C237" s="1" t="n">
        <v>46094</v>
      </c>
      <c r="D237" t="inlineStr">
        <is>
          <t>UPPSALA LÄN</t>
        </is>
      </c>
      <c r="E237" t="inlineStr">
        <is>
          <t>ENKÖPING</t>
        </is>
      </c>
      <c r="G237" t="n">
        <v>2.6</v>
      </c>
      <c r="H237" t="n">
        <v>0</v>
      </c>
      <c r="I237" t="n">
        <v>0</v>
      </c>
      <c r="J237" t="n">
        <v>0</v>
      </c>
      <c r="K237" t="n">
        <v>0</v>
      </c>
      <c r="L237" t="n">
        <v>0</v>
      </c>
      <c r="M237" t="n">
        <v>0</v>
      </c>
      <c r="N237" t="n">
        <v>0</v>
      </c>
      <c r="O237" t="n">
        <v>0</v>
      </c>
      <c r="P237" t="n">
        <v>0</v>
      </c>
      <c r="Q237" t="n">
        <v>0</v>
      </c>
      <c r="R237" s="2" t="inlineStr"/>
    </row>
    <row r="238" ht="15" customHeight="1">
      <c r="A238" t="inlineStr">
        <is>
          <t>A 26047-2025</t>
        </is>
      </c>
      <c r="B238" s="1" t="n">
        <v>45804.70835648148</v>
      </c>
      <c r="C238" s="1" t="n">
        <v>46094</v>
      </c>
      <c r="D238" t="inlineStr">
        <is>
          <t>UPPSALA LÄN</t>
        </is>
      </c>
      <c r="E238" t="inlineStr">
        <is>
          <t>ENKÖPING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55876-2024</t>
        </is>
      </c>
      <c r="B239" s="1" t="n">
        <v>45623.5546412037</v>
      </c>
      <c r="C239" s="1" t="n">
        <v>46094</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18592-2021</t>
        </is>
      </c>
      <c r="B240" s="1" t="n">
        <v>44306</v>
      </c>
      <c r="C240" s="1" t="n">
        <v>46094</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35067-2024</t>
        </is>
      </c>
      <c r="B241" s="1" t="n">
        <v>45527.66153935185</v>
      </c>
      <c r="C241" s="1" t="n">
        <v>46094</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11005-2023</t>
        </is>
      </c>
      <c r="B242" s="1" t="n">
        <v>44991</v>
      </c>
      <c r="C242" s="1" t="n">
        <v>46094</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69344-2021</t>
        </is>
      </c>
      <c r="B243" s="1" t="n">
        <v>44531</v>
      </c>
      <c r="C243" s="1" t="n">
        <v>46094</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6356-2022</t>
        </is>
      </c>
      <c r="B244" s="1" t="n">
        <v>44600</v>
      </c>
      <c r="C244" s="1" t="n">
        <v>46094</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57142-2021</t>
        </is>
      </c>
      <c r="B245" s="1" t="n">
        <v>44482</v>
      </c>
      <c r="C245" s="1" t="n">
        <v>46094</v>
      </c>
      <c r="D245" t="inlineStr">
        <is>
          <t>UPPSALA LÄN</t>
        </is>
      </c>
      <c r="E245" t="inlineStr">
        <is>
          <t>ENKÖPING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57147-2021</t>
        </is>
      </c>
      <c r="B246" s="1" t="n">
        <v>44482</v>
      </c>
      <c r="C246" s="1" t="n">
        <v>46094</v>
      </c>
      <c r="D246" t="inlineStr">
        <is>
          <t>UPPSALA LÄN</t>
        </is>
      </c>
      <c r="E246" t="inlineStr">
        <is>
          <t>ENKÖPING</t>
        </is>
      </c>
      <c r="G246" t="n">
        <v>5.7</v>
      </c>
      <c r="H246" t="n">
        <v>0</v>
      </c>
      <c r="I246" t="n">
        <v>0</v>
      </c>
      <c r="J246" t="n">
        <v>0</v>
      </c>
      <c r="K246" t="n">
        <v>0</v>
      </c>
      <c r="L246" t="n">
        <v>0</v>
      </c>
      <c r="M246" t="n">
        <v>0</v>
      </c>
      <c r="N246" t="n">
        <v>0</v>
      </c>
      <c r="O246" t="n">
        <v>0</v>
      </c>
      <c r="P246" t="n">
        <v>0</v>
      </c>
      <c r="Q246" t="n">
        <v>0</v>
      </c>
      <c r="R246" s="2" t="inlineStr"/>
    </row>
    <row r="247" ht="15" customHeight="1">
      <c r="A247" t="inlineStr">
        <is>
          <t>A 7868-2024</t>
        </is>
      </c>
      <c r="B247" s="1" t="n">
        <v>45350.33020833333</v>
      </c>
      <c r="C247" s="1" t="n">
        <v>46094</v>
      </c>
      <c r="D247" t="inlineStr">
        <is>
          <t>UPPSALA LÄN</t>
        </is>
      </c>
      <c r="E247" t="inlineStr">
        <is>
          <t>ENKÖPING</t>
        </is>
      </c>
      <c r="G247" t="n">
        <v>0.3</v>
      </c>
      <c r="H247" t="n">
        <v>0</v>
      </c>
      <c r="I247" t="n">
        <v>0</v>
      </c>
      <c r="J247" t="n">
        <v>0</v>
      </c>
      <c r="K247" t="n">
        <v>0</v>
      </c>
      <c r="L247" t="n">
        <v>0</v>
      </c>
      <c r="M247" t="n">
        <v>0</v>
      </c>
      <c r="N247" t="n">
        <v>0</v>
      </c>
      <c r="O247" t="n">
        <v>0</v>
      </c>
      <c r="P247" t="n">
        <v>0</v>
      </c>
      <c r="Q247" t="n">
        <v>0</v>
      </c>
      <c r="R247" s="2" t="inlineStr"/>
    </row>
    <row r="248" ht="15" customHeight="1">
      <c r="A248" t="inlineStr">
        <is>
          <t>A 7870-2024</t>
        </is>
      </c>
      <c r="B248" s="1" t="n">
        <v>45350.33349537037</v>
      </c>
      <c r="C248" s="1" t="n">
        <v>46094</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9231-2023</t>
        </is>
      </c>
      <c r="B249" s="1" t="n">
        <v>44980</v>
      </c>
      <c r="C249" s="1" t="n">
        <v>46094</v>
      </c>
      <c r="D249" t="inlineStr">
        <is>
          <t>UPPSALA LÄN</t>
        </is>
      </c>
      <c r="E249" t="inlineStr">
        <is>
          <t>ENKÖPING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13816-2021</t>
        </is>
      </c>
      <c r="B250" s="1" t="n">
        <v>44276</v>
      </c>
      <c r="C250" s="1" t="n">
        <v>46094</v>
      </c>
      <c r="D250" t="inlineStr">
        <is>
          <t>UPPSALA LÄN</t>
        </is>
      </c>
      <c r="E250" t="inlineStr">
        <is>
          <t>ENKÖPING</t>
        </is>
      </c>
      <c r="G250" t="n">
        <v>0.4</v>
      </c>
      <c r="H250" t="n">
        <v>0</v>
      </c>
      <c r="I250" t="n">
        <v>0</v>
      </c>
      <c r="J250" t="n">
        <v>0</v>
      </c>
      <c r="K250" t="n">
        <v>0</v>
      </c>
      <c r="L250" t="n">
        <v>0</v>
      </c>
      <c r="M250" t="n">
        <v>0</v>
      </c>
      <c r="N250" t="n">
        <v>0</v>
      </c>
      <c r="O250" t="n">
        <v>0</v>
      </c>
      <c r="P250" t="n">
        <v>0</v>
      </c>
      <c r="Q250" t="n">
        <v>0</v>
      </c>
      <c r="R250" s="2" t="inlineStr"/>
    </row>
    <row r="251" ht="15" customHeight="1">
      <c r="A251" t="inlineStr">
        <is>
          <t>A 16916-2022</t>
        </is>
      </c>
      <c r="B251" s="1" t="n">
        <v>44676</v>
      </c>
      <c r="C251" s="1" t="n">
        <v>46094</v>
      </c>
      <c r="D251" t="inlineStr">
        <is>
          <t>UPPSALA LÄN</t>
        </is>
      </c>
      <c r="E251" t="inlineStr">
        <is>
          <t>ENKÖPING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30514-2021</t>
        </is>
      </c>
      <c r="B252" s="1" t="n">
        <v>44364</v>
      </c>
      <c r="C252" s="1" t="n">
        <v>46094</v>
      </c>
      <c r="D252" t="inlineStr">
        <is>
          <t>UPPSALA LÄN</t>
        </is>
      </c>
      <c r="E252" t="inlineStr">
        <is>
          <t>ENKÖPING</t>
        </is>
      </c>
      <c r="G252" t="n">
        <v>1.4</v>
      </c>
      <c r="H252" t="n">
        <v>0</v>
      </c>
      <c r="I252" t="n">
        <v>0</v>
      </c>
      <c r="J252" t="n">
        <v>0</v>
      </c>
      <c r="K252" t="n">
        <v>0</v>
      </c>
      <c r="L252" t="n">
        <v>0</v>
      </c>
      <c r="M252" t="n">
        <v>0</v>
      </c>
      <c r="N252" t="n">
        <v>0</v>
      </c>
      <c r="O252" t="n">
        <v>0</v>
      </c>
      <c r="P252" t="n">
        <v>0</v>
      </c>
      <c r="Q252" t="n">
        <v>0</v>
      </c>
      <c r="R252" s="2" t="inlineStr"/>
    </row>
    <row r="253" ht="15" customHeight="1">
      <c r="A253" t="inlineStr">
        <is>
          <t>A 31604-2023</t>
        </is>
      </c>
      <c r="B253" s="1" t="n">
        <v>45117.50368055556</v>
      </c>
      <c r="C253" s="1" t="n">
        <v>46094</v>
      </c>
      <c r="D253" t="inlineStr">
        <is>
          <t>UPPSALA LÄN</t>
        </is>
      </c>
      <c r="E253" t="inlineStr">
        <is>
          <t>ENKÖPING</t>
        </is>
      </c>
      <c r="G253" t="n">
        <v>3.5</v>
      </c>
      <c r="H253" t="n">
        <v>0</v>
      </c>
      <c r="I253" t="n">
        <v>0</v>
      </c>
      <c r="J253" t="n">
        <v>0</v>
      </c>
      <c r="K253" t="n">
        <v>0</v>
      </c>
      <c r="L253" t="n">
        <v>0</v>
      </c>
      <c r="M253" t="n">
        <v>0</v>
      </c>
      <c r="N253" t="n">
        <v>0</v>
      </c>
      <c r="O253" t="n">
        <v>0</v>
      </c>
      <c r="P253" t="n">
        <v>0</v>
      </c>
      <c r="Q253" t="n">
        <v>0</v>
      </c>
      <c r="R253" s="2" t="inlineStr"/>
    </row>
    <row r="254" ht="15" customHeight="1">
      <c r="A254" t="inlineStr">
        <is>
          <t>A 25598-2021</t>
        </is>
      </c>
      <c r="B254" s="1" t="n">
        <v>44343.4558912037</v>
      </c>
      <c r="C254" s="1" t="n">
        <v>46094</v>
      </c>
      <c r="D254" t="inlineStr">
        <is>
          <t>UPPSALA LÄN</t>
        </is>
      </c>
      <c r="E254" t="inlineStr">
        <is>
          <t>ENKÖPING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15162-2025</t>
        </is>
      </c>
      <c r="B255" s="1" t="n">
        <v>45744</v>
      </c>
      <c r="C255" s="1" t="n">
        <v>46094</v>
      </c>
      <c r="D255" t="inlineStr">
        <is>
          <t>UPPSALA LÄN</t>
        </is>
      </c>
      <c r="E255" t="inlineStr">
        <is>
          <t>ENKÖPING</t>
        </is>
      </c>
      <c r="G255" t="n">
        <v>4.2</v>
      </c>
      <c r="H255" t="n">
        <v>0</v>
      </c>
      <c r="I255" t="n">
        <v>0</v>
      </c>
      <c r="J255" t="n">
        <v>0</v>
      </c>
      <c r="K255" t="n">
        <v>0</v>
      </c>
      <c r="L255" t="n">
        <v>0</v>
      </c>
      <c r="M255" t="n">
        <v>0</v>
      </c>
      <c r="N255" t="n">
        <v>0</v>
      </c>
      <c r="O255" t="n">
        <v>0</v>
      </c>
      <c r="P255" t="n">
        <v>0</v>
      </c>
      <c r="Q255" t="n">
        <v>0</v>
      </c>
      <c r="R255" s="2" t="inlineStr"/>
    </row>
    <row r="256" ht="15" customHeight="1">
      <c r="A256" t="inlineStr">
        <is>
          <t>A 27829-2025</t>
        </is>
      </c>
      <c r="B256" s="1" t="n">
        <v>45817</v>
      </c>
      <c r="C256" s="1" t="n">
        <v>46094</v>
      </c>
      <c r="D256" t="inlineStr">
        <is>
          <t>UPPSALA LÄN</t>
        </is>
      </c>
      <c r="E256" t="inlineStr">
        <is>
          <t>ENKÖPING</t>
        </is>
      </c>
      <c r="G256" t="n">
        <v>2.1</v>
      </c>
      <c r="H256" t="n">
        <v>0</v>
      </c>
      <c r="I256" t="n">
        <v>0</v>
      </c>
      <c r="J256" t="n">
        <v>0</v>
      </c>
      <c r="K256" t="n">
        <v>0</v>
      </c>
      <c r="L256" t="n">
        <v>0</v>
      </c>
      <c r="M256" t="n">
        <v>0</v>
      </c>
      <c r="N256" t="n">
        <v>0</v>
      </c>
      <c r="O256" t="n">
        <v>0</v>
      </c>
      <c r="P256" t="n">
        <v>0</v>
      </c>
      <c r="Q256" t="n">
        <v>0</v>
      </c>
      <c r="R256" s="2" t="inlineStr"/>
    </row>
    <row r="257" ht="15" customHeight="1">
      <c r="A257" t="inlineStr">
        <is>
          <t>A 39009-2024</t>
        </is>
      </c>
      <c r="B257" s="1" t="n">
        <v>45548</v>
      </c>
      <c r="C257" s="1" t="n">
        <v>46094</v>
      </c>
      <c r="D257" t="inlineStr">
        <is>
          <t>UPPSALA LÄN</t>
        </is>
      </c>
      <c r="E257" t="inlineStr">
        <is>
          <t>ENKÖPING</t>
        </is>
      </c>
      <c r="G257" t="n">
        <v>0.7</v>
      </c>
      <c r="H257" t="n">
        <v>0</v>
      </c>
      <c r="I257" t="n">
        <v>0</v>
      </c>
      <c r="J257" t="n">
        <v>0</v>
      </c>
      <c r="K257" t="n">
        <v>0</v>
      </c>
      <c r="L257" t="n">
        <v>0</v>
      </c>
      <c r="M257" t="n">
        <v>0</v>
      </c>
      <c r="N257" t="n">
        <v>0</v>
      </c>
      <c r="O257" t="n">
        <v>0</v>
      </c>
      <c r="P257" t="n">
        <v>0</v>
      </c>
      <c r="Q257" t="n">
        <v>0</v>
      </c>
      <c r="R257" s="2" t="inlineStr"/>
    </row>
    <row r="258" ht="15" customHeight="1">
      <c r="A258" t="inlineStr">
        <is>
          <t>A 8537-2025</t>
        </is>
      </c>
      <c r="B258" s="1" t="n">
        <v>45709</v>
      </c>
      <c r="C258" s="1" t="n">
        <v>46094</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49614-2024</t>
        </is>
      </c>
      <c r="B259" s="1" t="n">
        <v>45596.57716435185</v>
      </c>
      <c r="C259" s="1" t="n">
        <v>46094</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49632-2024</t>
        </is>
      </c>
      <c r="B260" s="1" t="n">
        <v>45596</v>
      </c>
      <c r="C260" s="1" t="n">
        <v>46094</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52388-2024</t>
        </is>
      </c>
      <c r="B261" s="1" t="n">
        <v>45609.42939814815</v>
      </c>
      <c r="C261" s="1" t="n">
        <v>46094</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53607-2023</t>
        </is>
      </c>
      <c r="B262" s="1" t="n">
        <v>45230</v>
      </c>
      <c r="C262" s="1" t="n">
        <v>46094</v>
      </c>
      <c r="D262" t="inlineStr">
        <is>
          <t>UPPSALA LÄN</t>
        </is>
      </c>
      <c r="E262" t="inlineStr">
        <is>
          <t>ENKÖPING</t>
        </is>
      </c>
      <c r="F262" t="inlineStr">
        <is>
          <t>Allmännings- och besparingsskogar</t>
        </is>
      </c>
      <c r="G262" t="n">
        <v>6.3</v>
      </c>
      <c r="H262" t="n">
        <v>0</v>
      </c>
      <c r="I262" t="n">
        <v>0</v>
      </c>
      <c r="J262" t="n">
        <v>0</v>
      </c>
      <c r="K262" t="n">
        <v>0</v>
      </c>
      <c r="L262" t="n">
        <v>0</v>
      </c>
      <c r="M262" t="n">
        <v>0</v>
      </c>
      <c r="N262" t="n">
        <v>0</v>
      </c>
      <c r="O262" t="n">
        <v>0</v>
      </c>
      <c r="P262" t="n">
        <v>0</v>
      </c>
      <c r="Q262" t="n">
        <v>0</v>
      </c>
      <c r="R262" s="2" t="inlineStr"/>
    </row>
    <row r="263" ht="15" customHeight="1">
      <c r="A263" t="inlineStr">
        <is>
          <t>A 29479-2022</t>
        </is>
      </c>
      <c r="B263" s="1" t="n">
        <v>44753.57265046296</v>
      </c>
      <c r="C263" s="1" t="n">
        <v>46094</v>
      </c>
      <c r="D263" t="inlineStr">
        <is>
          <t>UPPSALA LÄN</t>
        </is>
      </c>
      <c r="E263" t="inlineStr">
        <is>
          <t>ENKÖPING</t>
        </is>
      </c>
      <c r="G263" t="n">
        <v>0.9</v>
      </c>
      <c r="H263" t="n">
        <v>0</v>
      </c>
      <c r="I263" t="n">
        <v>0</v>
      </c>
      <c r="J263" t="n">
        <v>0</v>
      </c>
      <c r="K263" t="n">
        <v>0</v>
      </c>
      <c r="L263" t="n">
        <v>0</v>
      </c>
      <c r="M263" t="n">
        <v>0</v>
      </c>
      <c r="N263" t="n">
        <v>0</v>
      </c>
      <c r="O263" t="n">
        <v>0</v>
      </c>
      <c r="P263" t="n">
        <v>0</v>
      </c>
      <c r="Q263" t="n">
        <v>0</v>
      </c>
      <c r="R263" s="2" t="inlineStr"/>
    </row>
    <row r="264" ht="15" customHeight="1">
      <c r="A264" t="inlineStr">
        <is>
          <t>A 40202-2024</t>
        </is>
      </c>
      <c r="B264" s="1" t="n">
        <v>45554</v>
      </c>
      <c r="C264" s="1" t="n">
        <v>46094</v>
      </c>
      <c r="D264" t="inlineStr">
        <is>
          <t>UPPSALA LÄN</t>
        </is>
      </c>
      <c r="E264" t="inlineStr">
        <is>
          <t>ENKÖPING</t>
        </is>
      </c>
      <c r="G264" t="n">
        <v>6.2</v>
      </c>
      <c r="H264" t="n">
        <v>0</v>
      </c>
      <c r="I264" t="n">
        <v>0</v>
      </c>
      <c r="J264" t="n">
        <v>0</v>
      </c>
      <c r="K264" t="n">
        <v>0</v>
      </c>
      <c r="L264" t="n">
        <v>0</v>
      </c>
      <c r="M264" t="n">
        <v>0</v>
      </c>
      <c r="N264" t="n">
        <v>0</v>
      </c>
      <c r="O264" t="n">
        <v>0</v>
      </c>
      <c r="P264" t="n">
        <v>0</v>
      </c>
      <c r="Q264" t="n">
        <v>0</v>
      </c>
      <c r="R264" s="2" t="inlineStr"/>
    </row>
    <row r="265" ht="15" customHeight="1">
      <c r="A265" t="inlineStr">
        <is>
          <t>A 28758-2025</t>
        </is>
      </c>
      <c r="B265" s="1" t="n">
        <v>45820.41212962963</v>
      </c>
      <c r="C265" s="1" t="n">
        <v>46094</v>
      </c>
      <c r="D265" t="inlineStr">
        <is>
          <t>UPPSALA LÄN</t>
        </is>
      </c>
      <c r="E265" t="inlineStr">
        <is>
          <t>ENKÖPING</t>
        </is>
      </c>
      <c r="G265" t="n">
        <v>2.4</v>
      </c>
      <c r="H265" t="n">
        <v>0</v>
      </c>
      <c r="I265" t="n">
        <v>0</v>
      </c>
      <c r="J265" t="n">
        <v>0</v>
      </c>
      <c r="K265" t="n">
        <v>0</v>
      </c>
      <c r="L265" t="n">
        <v>0</v>
      </c>
      <c r="M265" t="n">
        <v>0</v>
      </c>
      <c r="N265" t="n">
        <v>0</v>
      </c>
      <c r="O265" t="n">
        <v>0</v>
      </c>
      <c r="P265" t="n">
        <v>0</v>
      </c>
      <c r="Q265" t="n">
        <v>0</v>
      </c>
      <c r="R265" s="2" t="inlineStr"/>
    </row>
    <row r="266" ht="15" customHeight="1">
      <c r="A266" t="inlineStr">
        <is>
          <t>A 28862-2025</t>
        </is>
      </c>
      <c r="B266" s="1" t="n">
        <v>45820.59189814814</v>
      </c>
      <c r="C266" s="1" t="n">
        <v>46094</v>
      </c>
      <c r="D266" t="inlineStr">
        <is>
          <t>UPPSALA LÄN</t>
        </is>
      </c>
      <c r="E266" t="inlineStr">
        <is>
          <t>ENKÖPING</t>
        </is>
      </c>
      <c r="G266" t="n">
        <v>2.2</v>
      </c>
      <c r="H266" t="n">
        <v>0</v>
      </c>
      <c r="I266" t="n">
        <v>0</v>
      </c>
      <c r="J266" t="n">
        <v>0</v>
      </c>
      <c r="K266" t="n">
        <v>0</v>
      </c>
      <c r="L266" t="n">
        <v>0</v>
      </c>
      <c r="M266" t="n">
        <v>0</v>
      </c>
      <c r="N266" t="n">
        <v>0</v>
      </c>
      <c r="O266" t="n">
        <v>0</v>
      </c>
      <c r="P266" t="n">
        <v>0</v>
      </c>
      <c r="Q266" t="n">
        <v>0</v>
      </c>
      <c r="R266" s="2" t="inlineStr"/>
    </row>
    <row r="267" ht="15" customHeight="1">
      <c r="A267" t="inlineStr">
        <is>
          <t>A 28855-2025</t>
        </is>
      </c>
      <c r="B267" s="1" t="n">
        <v>45820.58274305556</v>
      </c>
      <c r="C267" s="1" t="n">
        <v>46094</v>
      </c>
      <c r="D267" t="inlineStr">
        <is>
          <t>UPPSALA LÄN</t>
        </is>
      </c>
      <c r="E267" t="inlineStr">
        <is>
          <t>ENKÖPING</t>
        </is>
      </c>
      <c r="G267" t="n">
        <v>2.4</v>
      </c>
      <c r="H267" t="n">
        <v>0</v>
      </c>
      <c r="I267" t="n">
        <v>0</v>
      </c>
      <c r="J267" t="n">
        <v>0</v>
      </c>
      <c r="K267" t="n">
        <v>0</v>
      </c>
      <c r="L267" t="n">
        <v>0</v>
      </c>
      <c r="M267" t="n">
        <v>0</v>
      </c>
      <c r="N267" t="n">
        <v>0</v>
      </c>
      <c r="O267" t="n">
        <v>0</v>
      </c>
      <c r="P267" t="n">
        <v>0</v>
      </c>
      <c r="Q267" t="n">
        <v>0</v>
      </c>
      <c r="R267" s="2" t="inlineStr"/>
    </row>
    <row r="268" ht="15" customHeight="1">
      <c r="A268" t="inlineStr">
        <is>
          <t>A 29093-2025</t>
        </is>
      </c>
      <c r="B268" s="1" t="n">
        <v>45821.55743055556</v>
      </c>
      <c r="C268" s="1" t="n">
        <v>46094</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57152-2021</t>
        </is>
      </c>
      <c r="B269" s="1" t="n">
        <v>44482</v>
      </c>
      <c r="C269" s="1" t="n">
        <v>46094</v>
      </c>
      <c r="D269" t="inlineStr">
        <is>
          <t>UPPSALA LÄN</t>
        </is>
      </c>
      <c r="E269" t="inlineStr">
        <is>
          <t>ENKÖPING</t>
        </is>
      </c>
      <c r="G269" t="n">
        <v>1.4</v>
      </c>
      <c r="H269" t="n">
        <v>0</v>
      </c>
      <c r="I269" t="n">
        <v>0</v>
      </c>
      <c r="J269" t="n">
        <v>0</v>
      </c>
      <c r="K269" t="n">
        <v>0</v>
      </c>
      <c r="L269" t="n">
        <v>0</v>
      </c>
      <c r="M269" t="n">
        <v>0</v>
      </c>
      <c r="N269" t="n">
        <v>0</v>
      </c>
      <c r="O269" t="n">
        <v>0</v>
      </c>
      <c r="P269" t="n">
        <v>0</v>
      </c>
      <c r="Q269" t="n">
        <v>0</v>
      </c>
      <c r="R269" s="2" t="inlineStr"/>
    </row>
    <row r="270" ht="15" customHeight="1">
      <c r="A270" t="inlineStr">
        <is>
          <t>A 27538-2023</t>
        </is>
      </c>
      <c r="B270" s="1" t="n">
        <v>45097</v>
      </c>
      <c r="C270" s="1" t="n">
        <v>46094</v>
      </c>
      <c r="D270" t="inlineStr">
        <is>
          <t>UPPSALA LÄN</t>
        </is>
      </c>
      <c r="E270" t="inlineStr">
        <is>
          <t>ENKÖPING</t>
        </is>
      </c>
      <c r="G270" t="n">
        <v>5.8</v>
      </c>
      <c r="H270" t="n">
        <v>0</v>
      </c>
      <c r="I270" t="n">
        <v>0</v>
      </c>
      <c r="J270" t="n">
        <v>0</v>
      </c>
      <c r="K270" t="n">
        <v>0</v>
      </c>
      <c r="L270" t="n">
        <v>0</v>
      </c>
      <c r="M270" t="n">
        <v>0</v>
      </c>
      <c r="N270" t="n">
        <v>0</v>
      </c>
      <c r="O270" t="n">
        <v>0</v>
      </c>
      <c r="P270" t="n">
        <v>0</v>
      </c>
      <c r="Q270" t="n">
        <v>0</v>
      </c>
      <c r="R270" s="2" t="inlineStr"/>
    </row>
    <row r="271" ht="15" customHeight="1">
      <c r="A271" t="inlineStr">
        <is>
          <t>A 15409-2025</t>
        </is>
      </c>
      <c r="B271" s="1" t="n">
        <v>45747</v>
      </c>
      <c r="C271" s="1" t="n">
        <v>46094</v>
      </c>
      <c r="D271" t="inlineStr">
        <is>
          <t>UPPSALA LÄN</t>
        </is>
      </c>
      <c r="E271" t="inlineStr">
        <is>
          <t>ENKÖPING</t>
        </is>
      </c>
      <c r="G271" t="n">
        <v>2.5</v>
      </c>
      <c r="H271" t="n">
        <v>0</v>
      </c>
      <c r="I271" t="n">
        <v>0</v>
      </c>
      <c r="J271" t="n">
        <v>0</v>
      </c>
      <c r="K271" t="n">
        <v>0</v>
      </c>
      <c r="L271" t="n">
        <v>0</v>
      </c>
      <c r="M271" t="n">
        <v>0</v>
      </c>
      <c r="N271" t="n">
        <v>0</v>
      </c>
      <c r="O271" t="n">
        <v>0</v>
      </c>
      <c r="P271" t="n">
        <v>0</v>
      </c>
      <c r="Q271" t="n">
        <v>0</v>
      </c>
      <c r="R271" s="2" t="inlineStr"/>
    </row>
    <row r="272" ht="15" customHeight="1">
      <c r="A272" t="inlineStr">
        <is>
          <t>A 60874-2023</t>
        </is>
      </c>
      <c r="B272" s="1" t="n">
        <v>45261.06280092592</v>
      </c>
      <c r="C272" s="1" t="n">
        <v>46094</v>
      </c>
      <c r="D272" t="inlineStr">
        <is>
          <t>UPPSALA LÄN</t>
        </is>
      </c>
      <c r="E272" t="inlineStr">
        <is>
          <t>ENKÖPING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34124-2021</t>
        </is>
      </c>
      <c r="B273" s="1" t="n">
        <v>44379</v>
      </c>
      <c r="C273" s="1" t="n">
        <v>46094</v>
      </c>
      <c r="D273" t="inlineStr">
        <is>
          <t>UPPSALA LÄN</t>
        </is>
      </c>
      <c r="E273" t="inlineStr">
        <is>
          <t>ENKÖPING</t>
        </is>
      </c>
      <c r="G273" t="n">
        <v>2.2</v>
      </c>
      <c r="H273" t="n">
        <v>0</v>
      </c>
      <c r="I273" t="n">
        <v>0</v>
      </c>
      <c r="J273" t="n">
        <v>0</v>
      </c>
      <c r="K273" t="n">
        <v>0</v>
      </c>
      <c r="L273" t="n">
        <v>0</v>
      </c>
      <c r="M273" t="n">
        <v>0</v>
      </c>
      <c r="N273" t="n">
        <v>0</v>
      </c>
      <c r="O273" t="n">
        <v>0</v>
      </c>
      <c r="P273" t="n">
        <v>0</v>
      </c>
      <c r="Q273" t="n">
        <v>0</v>
      </c>
      <c r="R273" s="2" t="inlineStr"/>
    </row>
    <row r="274" ht="15" customHeight="1">
      <c r="A274" t="inlineStr">
        <is>
          <t>A 28518-2024</t>
        </is>
      </c>
      <c r="B274" s="1" t="n">
        <v>45477</v>
      </c>
      <c r="C274" s="1" t="n">
        <v>46094</v>
      </c>
      <c r="D274" t="inlineStr">
        <is>
          <t>UPPSALA LÄN</t>
        </is>
      </c>
      <c r="E274" t="inlineStr">
        <is>
          <t>ENKÖPING</t>
        </is>
      </c>
      <c r="G274" t="n">
        <v>3.4</v>
      </c>
      <c r="H274" t="n">
        <v>0</v>
      </c>
      <c r="I274" t="n">
        <v>0</v>
      </c>
      <c r="J274" t="n">
        <v>0</v>
      </c>
      <c r="K274" t="n">
        <v>0</v>
      </c>
      <c r="L274" t="n">
        <v>0</v>
      </c>
      <c r="M274" t="n">
        <v>0</v>
      </c>
      <c r="N274" t="n">
        <v>0</v>
      </c>
      <c r="O274" t="n">
        <v>0</v>
      </c>
      <c r="P274" t="n">
        <v>0</v>
      </c>
      <c r="Q274" t="n">
        <v>0</v>
      </c>
      <c r="R274" s="2" t="inlineStr"/>
    </row>
    <row r="275" ht="15" customHeight="1">
      <c r="A275" t="inlineStr">
        <is>
          <t>A 52299-2023</t>
        </is>
      </c>
      <c r="B275" s="1" t="n">
        <v>45224.61636574074</v>
      </c>
      <c r="C275" s="1" t="n">
        <v>46094</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50394-2024</t>
        </is>
      </c>
      <c r="B276" s="1" t="n">
        <v>45600</v>
      </c>
      <c r="C276" s="1" t="n">
        <v>46094</v>
      </c>
      <c r="D276" t="inlineStr">
        <is>
          <t>UPPSALA LÄN</t>
        </is>
      </c>
      <c r="E276" t="inlineStr">
        <is>
          <t>ENKÖPING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51010-2024</t>
        </is>
      </c>
      <c r="B277" s="1" t="n">
        <v>45603.39285879629</v>
      </c>
      <c r="C277" s="1" t="n">
        <v>46094</v>
      </c>
      <c r="D277" t="inlineStr">
        <is>
          <t>UPPSALA LÄN</t>
        </is>
      </c>
      <c r="E277" t="inlineStr">
        <is>
          <t>ENKÖPING</t>
        </is>
      </c>
      <c r="G277" t="n">
        <v>1.7</v>
      </c>
      <c r="H277" t="n">
        <v>0</v>
      </c>
      <c r="I277" t="n">
        <v>0</v>
      </c>
      <c r="J277" t="n">
        <v>0</v>
      </c>
      <c r="K277" t="n">
        <v>0</v>
      </c>
      <c r="L277" t="n">
        <v>0</v>
      </c>
      <c r="M277" t="n">
        <v>0</v>
      </c>
      <c r="N277" t="n">
        <v>0</v>
      </c>
      <c r="O277" t="n">
        <v>0</v>
      </c>
      <c r="P277" t="n">
        <v>0</v>
      </c>
      <c r="Q277" t="n">
        <v>0</v>
      </c>
      <c r="R277" s="2" t="inlineStr"/>
    </row>
    <row r="278" ht="15" customHeight="1">
      <c r="A278" t="inlineStr">
        <is>
          <t>A 43016-2021</t>
        </is>
      </c>
      <c r="B278" s="1" t="n">
        <v>44431</v>
      </c>
      <c r="C278" s="1" t="n">
        <v>46094</v>
      </c>
      <c r="D278" t="inlineStr">
        <is>
          <t>UPPSALA LÄN</t>
        </is>
      </c>
      <c r="E278" t="inlineStr">
        <is>
          <t>ENKÖPING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30634-2022</t>
        </is>
      </c>
      <c r="B279" s="1" t="n">
        <v>44763.45711805556</v>
      </c>
      <c r="C279" s="1" t="n">
        <v>46094</v>
      </c>
      <c r="D279" t="inlineStr">
        <is>
          <t>UPPSALA LÄN</t>
        </is>
      </c>
      <c r="E279" t="inlineStr">
        <is>
          <t>ENKÖPING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18259-2025</t>
        </is>
      </c>
      <c r="B280" s="1" t="n">
        <v>45762</v>
      </c>
      <c r="C280" s="1" t="n">
        <v>46094</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30837-2025</t>
        </is>
      </c>
      <c r="B281" s="1" t="n">
        <v>45831.7063425926</v>
      </c>
      <c r="C281" s="1" t="n">
        <v>46094</v>
      </c>
      <c r="D281" t="inlineStr">
        <is>
          <t>UPPSALA LÄN</t>
        </is>
      </c>
      <c r="E281" t="inlineStr">
        <is>
          <t>ENKÖPING</t>
        </is>
      </c>
      <c r="G281" t="n">
        <v>3.8</v>
      </c>
      <c r="H281" t="n">
        <v>0</v>
      </c>
      <c r="I281" t="n">
        <v>0</v>
      </c>
      <c r="J281" t="n">
        <v>0</v>
      </c>
      <c r="K281" t="n">
        <v>0</v>
      </c>
      <c r="L281" t="n">
        <v>0</v>
      </c>
      <c r="M281" t="n">
        <v>0</v>
      </c>
      <c r="N281" t="n">
        <v>0</v>
      </c>
      <c r="O281" t="n">
        <v>0</v>
      </c>
      <c r="P281" t="n">
        <v>0</v>
      </c>
      <c r="Q281" t="n">
        <v>0</v>
      </c>
      <c r="R281" s="2" t="inlineStr"/>
    </row>
    <row r="282" ht="15" customHeight="1">
      <c r="A282" t="inlineStr">
        <is>
          <t>A 19147-2024</t>
        </is>
      </c>
      <c r="B282" s="1" t="n">
        <v>45428</v>
      </c>
      <c r="C282" s="1" t="n">
        <v>46094</v>
      </c>
      <c r="D282" t="inlineStr">
        <is>
          <t>UPPSALA LÄN</t>
        </is>
      </c>
      <c r="E282" t="inlineStr">
        <is>
          <t>ENKÖPING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14004-2023</t>
        </is>
      </c>
      <c r="B283" s="1" t="n">
        <v>45008</v>
      </c>
      <c r="C283" s="1" t="n">
        <v>46094</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57209-2024</t>
        </is>
      </c>
      <c r="B284" s="1" t="n">
        <v>45629.49311342592</v>
      </c>
      <c r="C284" s="1" t="n">
        <v>46094</v>
      </c>
      <c r="D284" t="inlineStr">
        <is>
          <t>UPPSALA LÄN</t>
        </is>
      </c>
      <c r="E284" t="inlineStr">
        <is>
          <t>ENKÖPING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51120-2023</t>
        </is>
      </c>
      <c r="B285" s="1" t="n">
        <v>45219.3088425926</v>
      </c>
      <c r="C285" s="1" t="n">
        <v>46094</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12878-2025</t>
        </is>
      </c>
      <c r="B286" s="1" t="n">
        <v>45733.68571759259</v>
      </c>
      <c r="C286" s="1" t="n">
        <v>46094</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52005-2024</t>
        </is>
      </c>
      <c r="B287" s="1" t="n">
        <v>45607.7627662037</v>
      </c>
      <c r="C287" s="1" t="n">
        <v>46094</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1960-2022</t>
        </is>
      </c>
      <c r="B288" s="1" t="n">
        <v>44575</v>
      </c>
      <c r="C288" s="1" t="n">
        <v>46094</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43896-2022</t>
        </is>
      </c>
      <c r="B289" s="1" t="n">
        <v>44838</v>
      </c>
      <c r="C289" s="1" t="n">
        <v>46094</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32111-2025</t>
        </is>
      </c>
      <c r="B290" s="1" t="n">
        <v>45835</v>
      </c>
      <c r="C290" s="1" t="n">
        <v>46094</v>
      </c>
      <c r="D290" t="inlineStr">
        <is>
          <t>UPPSALA LÄN</t>
        </is>
      </c>
      <c r="E290" t="inlineStr">
        <is>
          <t>ENKÖPING</t>
        </is>
      </c>
      <c r="G290" t="n">
        <v>1.7</v>
      </c>
      <c r="H290" t="n">
        <v>0</v>
      </c>
      <c r="I290" t="n">
        <v>0</v>
      </c>
      <c r="J290" t="n">
        <v>0</v>
      </c>
      <c r="K290" t="n">
        <v>0</v>
      </c>
      <c r="L290" t="n">
        <v>0</v>
      </c>
      <c r="M290" t="n">
        <v>0</v>
      </c>
      <c r="N290" t="n">
        <v>0</v>
      </c>
      <c r="O290" t="n">
        <v>0</v>
      </c>
      <c r="P290" t="n">
        <v>0</v>
      </c>
      <c r="Q290" t="n">
        <v>0</v>
      </c>
      <c r="R290" s="2" t="inlineStr"/>
    </row>
    <row r="291" ht="15" customHeight="1">
      <c r="A291" t="inlineStr">
        <is>
          <t>A 32031-2025</t>
        </is>
      </c>
      <c r="B291" s="1" t="n">
        <v>45835.41712962963</v>
      </c>
      <c r="C291" s="1" t="n">
        <v>46094</v>
      </c>
      <c r="D291" t="inlineStr">
        <is>
          <t>UPPSALA LÄN</t>
        </is>
      </c>
      <c r="E291" t="inlineStr">
        <is>
          <t>ENKÖPING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49627-2024</t>
        </is>
      </c>
      <c r="B292" s="1" t="n">
        <v>45596.59140046296</v>
      </c>
      <c r="C292" s="1" t="n">
        <v>46094</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57998-2024</t>
        </is>
      </c>
      <c r="B293" s="1" t="n">
        <v>45631</v>
      </c>
      <c r="C293" s="1" t="n">
        <v>46094</v>
      </c>
      <c r="D293" t="inlineStr">
        <is>
          <t>UPPSALA LÄN</t>
        </is>
      </c>
      <c r="E293" t="inlineStr">
        <is>
          <t>ENKÖPING</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9667-2024</t>
        </is>
      </c>
      <c r="B294" s="1" t="n">
        <v>45362.45130787037</v>
      </c>
      <c r="C294" s="1" t="n">
        <v>46094</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35645-2021</t>
        </is>
      </c>
      <c r="B295" s="1" t="n">
        <v>44386.42</v>
      </c>
      <c r="C295" s="1" t="n">
        <v>46094</v>
      </c>
      <c r="D295" t="inlineStr">
        <is>
          <t>UPPSALA LÄN</t>
        </is>
      </c>
      <c r="E295" t="inlineStr">
        <is>
          <t>ENKÖPING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7090-2022</t>
        </is>
      </c>
      <c r="B296" s="1" t="n">
        <v>44603.59520833333</v>
      </c>
      <c r="C296" s="1" t="n">
        <v>46094</v>
      </c>
      <c r="D296" t="inlineStr">
        <is>
          <t>UPPSALA LÄN</t>
        </is>
      </c>
      <c r="E296" t="inlineStr">
        <is>
          <t>ENKÖPING</t>
        </is>
      </c>
      <c r="G296" t="n">
        <v>2.8</v>
      </c>
      <c r="H296" t="n">
        <v>0</v>
      </c>
      <c r="I296" t="n">
        <v>0</v>
      </c>
      <c r="J296" t="n">
        <v>0</v>
      </c>
      <c r="K296" t="n">
        <v>0</v>
      </c>
      <c r="L296" t="n">
        <v>0</v>
      </c>
      <c r="M296" t="n">
        <v>0</v>
      </c>
      <c r="N296" t="n">
        <v>0</v>
      </c>
      <c r="O296" t="n">
        <v>0</v>
      </c>
      <c r="P296" t="n">
        <v>0</v>
      </c>
      <c r="Q296" t="n">
        <v>0</v>
      </c>
      <c r="R296" s="2" t="inlineStr"/>
    </row>
    <row r="297" ht="15" customHeight="1">
      <c r="A297" t="inlineStr">
        <is>
          <t>A 9487-2025</t>
        </is>
      </c>
      <c r="B297" s="1" t="n">
        <v>45715.49331018519</v>
      </c>
      <c r="C297" s="1" t="n">
        <v>46094</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6144-2024</t>
        </is>
      </c>
      <c r="B298" s="1" t="n">
        <v>45337.4684837963</v>
      </c>
      <c r="C298" s="1" t="n">
        <v>46094</v>
      </c>
      <c r="D298" t="inlineStr">
        <is>
          <t>UPPSALA LÄN</t>
        </is>
      </c>
      <c r="E298" t="inlineStr">
        <is>
          <t>ENKÖPING</t>
        </is>
      </c>
      <c r="G298" t="n">
        <v>13.8</v>
      </c>
      <c r="H298" t="n">
        <v>0</v>
      </c>
      <c r="I298" t="n">
        <v>0</v>
      </c>
      <c r="J298" t="n">
        <v>0</v>
      </c>
      <c r="K298" t="n">
        <v>0</v>
      </c>
      <c r="L298" t="n">
        <v>0</v>
      </c>
      <c r="M298" t="n">
        <v>0</v>
      </c>
      <c r="N298" t="n">
        <v>0</v>
      </c>
      <c r="O298" t="n">
        <v>0</v>
      </c>
      <c r="P298" t="n">
        <v>0</v>
      </c>
      <c r="Q298" t="n">
        <v>0</v>
      </c>
      <c r="R298" s="2" t="inlineStr"/>
    </row>
    <row r="299" ht="15" customHeight="1">
      <c r="A299" t="inlineStr">
        <is>
          <t>A 33955-2024</t>
        </is>
      </c>
      <c r="B299" s="1" t="n">
        <v>45523.46952546296</v>
      </c>
      <c r="C299" s="1" t="n">
        <v>46094</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15711-2025</t>
        </is>
      </c>
      <c r="B300" s="1" t="n">
        <v>45748</v>
      </c>
      <c r="C300" s="1" t="n">
        <v>46094</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15740-2025</t>
        </is>
      </c>
      <c r="B301" s="1" t="n">
        <v>45748</v>
      </c>
      <c r="C301" s="1" t="n">
        <v>46094</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28318-2024</t>
        </is>
      </c>
      <c r="B302" s="1" t="n">
        <v>45477</v>
      </c>
      <c r="C302" s="1" t="n">
        <v>46094</v>
      </c>
      <c r="D302" t="inlineStr">
        <is>
          <t>UPPSALA LÄN</t>
        </is>
      </c>
      <c r="E302" t="inlineStr">
        <is>
          <t>ENKÖPING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69344-2021</t>
        </is>
      </c>
      <c r="B303" s="1" t="n">
        <v>44531</v>
      </c>
      <c r="C303" s="1" t="n">
        <v>46094</v>
      </c>
      <c r="D303" t="inlineStr">
        <is>
          <t>UPPSALA LÄN</t>
        </is>
      </c>
      <c r="E303" t="inlineStr">
        <is>
          <t>ENKÖPING</t>
        </is>
      </c>
      <c r="G303" t="n">
        <v>2.9</v>
      </c>
      <c r="H303" t="n">
        <v>0</v>
      </c>
      <c r="I303" t="n">
        <v>0</v>
      </c>
      <c r="J303" t="n">
        <v>0</v>
      </c>
      <c r="K303" t="n">
        <v>0</v>
      </c>
      <c r="L303" t="n">
        <v>0</v>
      </c>
      <c r="M303" t="n">
        <v>0</v>
      </c>
      <c r="N303" t="n">
        <v>0</v>
      </c>
      <c r="O303" t="n">
        <v>0</v>
      </c>
      <c r="P303" t="n">
        <v>0</v>
      </c>
      <c r="Q303" t="n">
        <v>0</v>
      </c>
      <c r="R303" s="2" t="inlineStr"/>
    </row>
    <row r="304" ht="15" customHeight="1">
      <c r="A304" t="inlineStr">
        <is>
          <t>A 51524-2022</t>
        </is>
      </c>
      <c r="B304" s="1" t="n">
        <v>44869</v>
      </c>
      <c r="C304" s="1" t="n">
        <v>46094</v>
      </c>
      <c r="D304" t="inlineStr">
        <is>
          <t>UPPSALA LÄN</t>
        </is>
      </c>
      <c r="E304" t="inlineStr">
        <is>
          <t>ENKÖPING</t>
        </is>
      </c>
      <c r="G304" t="n">
        <v>6.6</v>
      </c>
      <c r="H304" t="n">
        <v>0</v>
      </c>
      <c r="I304" t="n">
        <v>0</v>
      </c>
      <c r="J304" t="n">
        <v>0</v>
      </c>
      <c r="K304" t="n">
        <v>0</v>
      </c>
      <c r="L304" t="n">
        <v>0</v>
      </c>
      <c r="M304" t="n">
        <v>0</v>
      </c>
      <c r="N304" t="n">
        <v>0</v>
      </c>
      <c r="O304" t="n">
        <v>0</v>
      </c>
      <c r="P304" t="n">
        <v>0</v>
      </c>
      <c r="Q304" t="n">
        <v>0</v>
      </c>
      <c r="R304" s="2" t="inlineStr"/>
    </row>
    <row r="305" ht="15" customHeight="1">
      <c r="A305" t="inlineStr">
        <is>
          <t>A 16920-2023</t>
        </is>
      </c>
      <c r="B305" s="1" t="n">
        <v>45033.59030092593</v>
      </c>
      <c r="C305" s="1" t="n">
        <v>46094</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18994-2025</t>
        </is>
      </c>
      <c r="B306" s="1" t="n">
        <v>45764.57350694444</v>
      </c>
      <c r="C306" s="1" t="n">
        <v>46094</v>
      </c>
      <c r="D306" t="inlineStr">
        <is>
          <t>UPPSALA LÄN</t>
        </is>
      </c>
      <c r="E306" t="inlineStr">
        <is>
          <t>ENKÖPING</t>
        </is>
      </c>
      <c r="G306" t="n">
        <v>3.8</v>
      </c>
      <c r="H306" t="n">
        <v>0</v>
      </c>
      <c r="I306" t="n">
        <v>0</v>
      </c>
      <c r="J306" t="n">
        <v>0</v>
      </c>
      <c r="K306" t="n">
        <v>0</v>
      </c>
      <c r="L306" t="n">
        <v>0</v>
      </c>
      <c r="M306" t="n">
        <v>0</v>
      </c>
      <c r="N306" t="n">
        <v>0</v>
      </c>
      <c r="O306" t="n">
        <v>0</v>
      </c>
      <c r="P306" t="n">
        <v>0</v>
      </c>
      <c r="Q306" t="n">
        <v>0</v>
      </c>
      <c r="R306" s="2" t="inlineStr"/>
    </row>
    <row r="307" ht="15" customHeight="1">
      <c r="A307" t="inlineStr">
        <is>
          <t>A 53586-2024</t>
        </is>
      </c>
      <c r="B307" s="1" t="n">
        <v>45614</v>
      </c>
      <c r="C307" s="1" t="n">
        <v>46094</v>
      </c>
      <c r="D307" t="inlineStr">
        <is>
          <t>UPPSALA LÄN</t>
        </is>
      </c>
      <c r="E307" t="inlineStr">
        <is>
          <t>ENKÖPING</t>
        </is>
      </c>
      <c r="G307" t="n">
        <v>6.6</v>
      </c>
      <c r="H307" t="n">
        <v>0</v>
      </c>
      <c r="I307" t="n">
        <v>0</v>
      </c>
      <c r="J307" t="n">
        <v>0</v>
      </c>
      <c r="K307" t="n">
        <v>0</v>
      </c>
      <c r="L307" t="n">
        <v>0</v>
      </c>
      <c r="M307" t="n">
        <v>0</v>
      </c>
      <c r="N307" t="n">
        <v>0</v>
      </c>
      <c r="O307" t="n">
        <v>0</v>
      </c>
      <c r="P307" t="n">
        <v>0</v>
      </c>
      <c r="Q307" t="n">
        <v>0</v>
      </c>
      <c r="R307" s="2" t="inlineStr"/>
    </row>
    <row r="308" ht="15" customHeight="1">
      <c r="A308" t="inlineStr">
        <is>
          <t>A 57848-2024</t>
        </is>
      </c>
      <c r="B308" s="1" t="n">
        <v>45631.40947916666</v>
      </c>
      <c r="C308" s="1" t="n">
        <v>46094</v>
      </c>
      <c r="D308" t="inlineStr">
        <is>
          <t>UPPSALA LÄN</t>
        </is>
      </c>
      <c r="E308" t="inlineStr">
        <is>
          <t>ENKÖPING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49601-2024</t>
        </is>
      </c>
      <c r="B309" s="1" t="n">
        <v>45596.56288194445</v>
      </c>
      <c r="C309" s="1" t="n">
        <v>46094</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46103-2023</t>
        </is>
      </c>
      <c r="B310" s="1" t="n">
        <v>45190</v>
      </c>
      <c r="C310" s="1" t="n">
        <v>46094</v>
      </c>
      <c r="D310" t="inlineStr">
        <is>
          <t>UPPSALA LÄN</t>
        </is>
      </c>
      <c r="E310" t="inlineStr">
        <is>
          <t>ENKÖPING</t>
        </is>
      </c>
      <c r="G310" t="n">
        <v>4.6</v>
      </c>
      <c r="H310" t="n">
        <v>0</v>
      </c>
      <c r="I310" t="n">
        <v>0</v>
      </c>
      <c r="J310" t="n">
        <v>0</v>
      </c>
      <c r="K310" t="n">
        <v>0</v>
      </c>
      <c r="L310" t="n">
        <v>0</v>
      </c>
      <c r="M310" t="n">
        <v>0</v>
      </c>
      <c r="N310" t="n">
        <v>0</v>
      </c>
      <c r="O310" t="n">
        <v>0</v>
      </c>
      <c r="P310" t="n">
        <v>0</v>
      </c>
      <c r="Q310" t="n">
        <v>0</v>
      </c>
      <c r="R310" s="2" t="inlineStr"/>
    </row>
    <row r="311" ht="15" customHeight="1">
      <c r="A311" t="inlineStr">
        <is>
          <t>A 41737-2022</t>
        </is>
      </c>
      <c r="B311" s="1" t="n">
        <v>44827.63826388889</v>
      </c>
      <c r="C311" s="1" t="n">
        <v>46094</v>
      </c>
      <c r="D311" t="inlineStr">
        <is>
          <t>UPPSALA LÄN</t>
        </is>
      </c>
      <c r="E311" t="inlineStr">
        <is>
          <t>ENKÖPING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8137-2025</t>
        </is>
      </c>
      <c r="B312" s="1" t="n">
        <v>45707.8561574074</v>
      </c>
      <c r="C312" s="1" t="n">
        <v>46094</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23301-2024</t>
        </is>
      </c>
      <c r="B313" s="1" t="n">
        <v>45453.4396412037</v>
      </c>
      <c r="C313" s="1" t="n">
        <v>46094</v>
      </c>
      <c r="D313" t="inlineStr">
        <is>
          <t>UPPSALA LÄN</t>
        </is>
      </c>
      <c r="E313" t="inlineStr">
        <is>
          <t>ENKÖPING</t>
        </is>
      </c>
      <c r="G313" t="n">
        <v>4.3</v>
      </c>
      <c r="H313" t="n">
        <v>0</v>
      </c>
      <c r="I313" t="n">
        <v>0</v>
      </c>
      <c r="J313" t="n">
        <v>0</v>
      </c>
      <c r="K313" t="n">
        <v>0</v>
      </c>
      <c r="L313" t="n">
        <v>0</v>
      </c>
      <c r="M313" t="n">
        <v>0</v>
      </c>
      <c r="N313" t="n">
        <v>0</v>
      </c>
      <c r="O313" t="n">
        <v>0</v>
      </c>
      <c r="P313" t="n">
        <v>0</v>
      </c>
      <c r="Q313" t="n">
        <v>0</v>
      </c>
      <c r="R313" s="2" t="inlineStr"/>
    </row>
    <row r="314" ht="15" customHeight="1">
      <c r="A314" t="inlineStr">
        <is>
          <t>A 52380-2024</t>
        </is>
      </c>
      <c r="B314" s="1" t="n">
        <v>45609</v>
      </c>
      <c r="C314" s="1" t="n">
        <v>46094</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43506-2023</t>
        </is>
      </c>
      <c r="B315" s="1" t="n">
        <v>45181</v>
      </c>
      <c r="C315" s="1" t="n">
        <v>46094</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29513-2025</t>
        </is>
      </c>
      <c r="B316" s="1" t="n">
        <v>45825</v>
      </c>
      <c r="C316" s="1" t="n">
        <v>46094</v>
      </c>
      <c r="D316" t="inlineStr">
        <is>
          <t>UPPSALA LÄN</t>
        </is>
      </c>
      <c r="E316" t="inlineStr">
        <is>
          <t>ENKÖPING</t>
        </is>
      </c>
      <c r="G316" t="n">
        <v>2.6</v>
      </c>
      <c r="H316" t="n">
        <v>0</v>
      </c>
      <c r="I316" t="n">
        <v>0</v>
      </c>
      <c r="J316" t="n">
        <v>0</v>
      </c>
      <c r="K316" t="n">
        <v>0</v>
      </c>
      <c r="L316" t="n">
        <v>0</v>
      </c>
      <c r="M316" t="n">
        <v>0</v>
      </c>
      <c r="N316" t="n">
        <v>0</v>
      </c>
      <c r="O316" t="n">
        <v>0</v>
      </c>
      <c r="P316" t="n">
        <v>0</v>
      </c>
      <c r="Q316" t="n">
        <v>0</v>
      </c>
      <c r="R316" s="2" t="inlineStr"/>
    </row>
    <row r="317" ht="15" customHeight="1">
      <c r="A317" t="inlineStr">
        <is>
          <t>A 17844-2025</t>
        </is>
      </c>
      <c r="B317" s="1" t="n">
        <v>45758.59920138889</v>
      </c>
      <c r="C317" s="1" t="n">
        <v>46094</v>
      </c>
      <c r="D317" t="inlineStr">
        <is>
          <t>UPPSALA LÄN</t>
        </is>
      </c>
      <c r="E317" t="inlineStr">
        <is>
          <t>ENKÖPING</t>
        </is>
      </c>
      <c r="G317" t="n">
        <v>1.4</v>
      </c>
      <c r="H317" t="n">
        <v>0</v>
      </c>
      <c r="I317" t="n">
        <v>0</v>
      </c>
      <c r="J317" t="n">
        <v>0</v>
      </c>
      <c r="K317" t="n">
        <v>0</v>
      </c>
      <c r="L317" t="n">
        <v>0</v>
      </c>
      <c r="M317" t="n">
        <v>0</v>
      </c>
      <c r="N317" t="n">
        <v>0</v>
      </c>
      <c r="O317" t="n">
        <v>0</v>
      </c>
      <c r="P317" t="n">
        <v>0</v>
      </c>
      <c r="Q317" t="n">
        <v>0</v>
      </c>
      <c r="R317" s="2" t="inlineStr"/>
    </row>
    <row r="318" ht="15" customHeight="1">
      <c r="A318" t="inlineStr">
        <is>
          <t>A 30098-2024</t>
        </is>
      </c>
      <c r="B318" s="1" t="n">
        <v>45489.41609953704</v>
      </c>
      <c r="C318" s="1" t="n">
        <v>46094</v>
      </c>
      <c r="D318" t="inlineStr">
        <is>
          <t>UPPSALA LÄN</t>
        </is>
      </c>
      <c r="E318" t="inlineStr">
        <is>
          <t>ENKÖPING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34735-2023</t>
        </is>
      </c>
      <c r="B319" s="1" t="n">
        <v>45139</v>
      </c>
      <c r="C319" s="1" t="n">
        <v>46094</v>
      </c>
      <c r="D319" t="inlineStr">
        <is>
          <t>UPPSALA LÄN</t>
        </is>
      </c>
      <c r="E319" t="inlineStr">
        <is>
          <t>ENKÖPING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27837-2025</t>
        </is>
      </c>
      <c r="B320" s="1" t="n">
        <v>45817.37207175926</v>
      </c>
      <c r="C320" s="1" t="n">
        <v>46094</v>
      </c>
      <c r="D320" t="inlineStr">
        <is>
          <t>UPPSALA LÄN</t>
        </is>
      </c>
      <c r="E320" t="inlineStr">
        <is>
          <t>ENKÖPING</t>
        </is>
      </c>
      <c r="G320" t="n">
        <v>7.3</v>
      </c>
      <c r="H320" t="n">
        <v>0</v>
      </c>
      <c r="I320" t="n">
        <v>0</v>
      </c>
      <c r="J320" t="n">
        <v>0</v>
      </c>
      <c r="K320" t="n">
        <v>0</v>
      </c>
      <c r="L320" t="n">
        <v>0</v>
      </c>
      <c r="M320" t="n">
        <v>0</v>
      </c>
      <c r="N320" t="n">
        <v>0</v>
      </c>
      <c r="O320" t="n">
        <v>0</v>
      </c>
      <c r="P320" t="n">
        <v>0</v>
      </c>
      <c r="Q320" t="n">
        <v>0</v>
      </c>
      <c r="R320" s="2" t="inlineStr"/>
    </row>
    <row r="321" ht="15" customHeight="1">
      <c r="A321" t="inlineStr">
        <is>
          <t>A 46186-2023</t>
        </is>
      </c>
      <c r="B321" s="1" t="n">
        <v>45196</v>
      </c>
      <c r="C321" s="1" t="n">
        <v>46094</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57328-2024</t>
        </is>
      </c>
      <c r="B322" s="1" t="n">
        <v>45629.62798611111</v>
      </c>
      <c r="C322" s="1" t="n">
        <v>46094</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54595-2021</t>
        </is>
      </c>
      <c r="B323" s="1" t="n">
        <v>44473.58824074074</v>
      </c>
      <c r="C323" s="1" t="n">
        <v>46094</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54588-2024</t>
        </is>
      </c>
      <c r="B324" s="1" t="n">
        <v>45617</v>
      </c>
      <c r="C324" s="1" t="n">
        <v>46094</v>
      </c>
      <c r="D324" t="inlineStr">
        <is>
          <t>UPPSALA LÄN</t>
        </is>
      </c>
      <c r="E324" t="inlineStr">
        <is>
          <t>ENKÖPING</t>
        </is>
      </c>
      <c r="G324" t="n">
        <v>3.7</v>
      </c>
      <c r="H324" t="n">
        <v>0</v>
      </c>
      <c r="I324" t="n">
        <v>0</v>
      </c>
      <c r="J324" t="n">
        <v>0</v>
      </c>
      <c r="K324" t="n">
        <v>0</v>
      </c>
      <c r="L324" t="n">
        <v>0</v>
      </c>
      <c r="M324" t="n">
        <v>0</v>
      </c>
      <c r="N324" t="n">
        <v>0</v>
      </c>
      <c r="O324" t="n">
        <v>0</v>
      </c>
      <c r="P324" t="n">
        <v>0</v>
      </c>
      <c r="Q324" t="n">
        <v>0</v>
      </c>
      <c r="R324" s="2" t="inlineStr"/>
    </row>
    <row r="325" ht="15" customHeight="1">
      <c r="A325" t="inlineStr">
        <is>
          <t>A 47428-2023</t>
        </is>
      </c>
      <c r="B325" s="1" t="n">
        <v>45202.66664351852</v>
      </c>
      <c r="C325" s="1" t="n">
        <v>46094</v>
      </c>
      <c r="D325" t="inlineStr">
        <is>
          <t>UPPSALA LÄN</t>
        </is>
      </c>
      <c r="E325" t="inlineStr">
        <is>
          <t>ENKÖPING</t>
        </is>
      </c>
      <c r="G325" t="n">
        <v>3</v>
      </c>
      <c r="H325" t="n">
        <v>0</v>
      </c>
      <c r="I325" t="n">
        <v>0</v>
      </c>
      <c r="J325" t="n">
        <v>0</v>
      </c>
      <c r="K325" t="n">
        <v>0</v>
      </c>
      <c r="L325" t="n">
        <v>0</v>
      </c>
      <c r="M325" t="n">
        <v>0</v>
      </c>
      <c r="N325" t="n">
        <v>0</v>
      </c>
      <c r="O325" t="n">
        <v>0</v>
      </c>
      <c r="P325" t="n">
        <v>0</v>
      </c>
      <c r="Q325" t="n">
        <v>0</v>
      </c>
      <c r="R325" s="2" t="inlineStr"/>
    </row>
    <row r="326" ht="15" customHeight="1">
      <c r="A326" t="inlineStr">
        <is>
          <t>A 5892-2023</t>
        </is>
      </c>
      <c r="B326" s="1" t="n">
        <v>44963.64883101852</v>
      </c>
      <c r="C326" s="1" t="n">
        <v>46094</v>
      </c>
      <c r="D326" t="inlineStr">
        <is>
          <t>UPPSALA LÄN</t>
        </is>
      </c>
      <c r="E326" t="inlineStr">
        <is>
          <t>ENKÖPING</t>
        </is>
      </c>
      <c r="G326" t="n">
        <v>5.5</v>
      </c>
      <c r="H326" t="n">
        <v>0</v>
      </c>
      <c r="I326" t="n">
        <v>0</v>
      </c>
      <c r="J326" t="n">
        <v>0</v>
      </c>
      <c r="K326" t="n">
        <v>0</v>
      </c>
      <c r="L326" t="n">
        <v>0</v>
      </c>
      <c r="M326" t="n">
        <v>0</v>
      </c>
      <c r="N326" t="n">
        <v>0</v>
      </c>
      <c r="O326" t="n">
        <v>0</v>
      </c>
      <c r="P326" t="n">
        <v>0</v>
      </c>
      <c r="Q326" t="n">
        <v>0</v>
      </c>
      <c r="R326" s="2" t="inlineStr"/>
    </row>
    <row r="327" ht="15" customHeight="1">
      <c r="A327" t="inlineStr">
        <is>
          <t>A 12572-2021</t>
        </is>
      </c>
      <c r="B327" s="1" t="n">
        <v>44270.36438657407</v>
      </c>
      <c r="C327" s="1" t="n">
        <v>46094</v>
      </c>
      <c r="D327" t="inlineStr">
        <is>
          <t>UPPSALA LÄN</t>
        </is>
      </c>
      <c r="E327" t="inlineStr">
        <is>
          <t>ENKÖPING</t>
        </is>
      </c>
      <c r="G327" t="n">
        <v>3.3</v>
      </c>
      <c r="H327" t="n">
        <v>0</v>
      </c>
      <c r="I327" t="n">
        <v>0</v>
      </c>
      <c r="J327" t="n">
        <v>0</v>
      </c>
      <c r="K327" t="n">
        <v>0</v>
      </c>
      <c r="L327" t="n">
        <v>0</v>
      </c>
      <c r="M327" t="n">
        <v>0</v>
      </c>
      <c r="N327" t="n">
        <v>0</v>
      </c>
      <c r="O327" t="n">
        <v>0</v>
      </c>
      <c r="P327" t="n">
        <v>0</v>
      </c>
      <c r="Q327" t="n">
        <v>0</v>
      </c>
      <c r="R327" s="2" t="inlineStr"/>
    </row>
    <row r="328" ht="15" customHeight="1">
      <c r="A328" t="inlineStr">
        <is>
          <t>A 671-2022</t>
        </is>
      </c>
      <c r="B328" s="1" t="n">
        <v>44568</v>
      </c>
      <c r="C328" s="1" t="n">
        <v>46094</v>
      </c>
      <c r="D328" t="inlineStr">
        <is>
          <t>UPPSALA LÄN</t>
        </is>
      </c>
      <c r="E328" t="inlineStr">
        <is>
          <t>ENKÖPING</t>
        </is>
      </c>
      <c r="G328" t="n">
        <v>3.5</v>
      </c>
      <c r="H328" t="n">
        <v>0</v>
      </c>
      <c r="I328" t="n">
        <v>0</v>
      </c>
      <c r="J328" t="n">
        <v>0</v>
      </c>
      <c r="K328" t="n">
        <v>0</v>
      </c>
      <c r="L328" t="n">
        <v>0</v>
      </c>
      <c r="M328" t="n">
        <v>0</v>
      </c>
      <c r="N328" t="n">
        <v>0</v>
      </c>
      <c r="O328" t="n">
        <v>0</v>
      </c>
      <c r="P328" t="n">
        <v>0</v>
      </c>
      <c r="Q328" t="n">
        <v>0</v>
      </c>
      <c r="R328" s="2" t="inlineStr"/>
    </row>
    <row r="329" ht="15" customHeight="1">
      <c r="A329" t="inlineStr">
        <is>
          <t>A 29482-2022</t>
        </is>
      </c>
      <c r="B329" s="1" t="n">
        <v>44753.57703703704</v>
      </c>
      <c r="C329" s="1" t="n">
        <v>46094</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29483-2022</t>
        </is>
      </c>
      <c r="B330" s="1" t="n">
        <v>44753.57829861111</v>
      </c>
      <c r="C330" s="1" t="n">
        <v>46094</v>
      </c>
      <c r="D330" t="inlineStr">
        <is>
          <t>UPPSALA LÄN</t>
        </is>
      </c>
      <c r="E330" t="inlineStr">
        <is>
          <t>ENKÖPING</t>
        </is>
      </c>
      <c r="G330" t="n">
        <v>3.6</v>
      </c>
      <c r="H330" t="n">
        <v>0</v>
      </c>
      <c r="I330" t="n">
        <v>0</v>
      </c>
      <c r="J330" t="n">
        <v>0</v>
      </c>
      <c r="K330" t="n">
        <v>0</v>
      </c>
      <c r="L330" t="n">
        <v>0</v>
      </c>
      <c r="M330" t="n">
        <v>0</v>
      </c>
      <c r="N330" t="n">
        <v>0</v>
      </c>
      <c r="O330" t="n">
        <v>0</v>
      </c>
      <c r="P330" t="n">
        <v>0</v>
      </c>
      <c r="Q330" t="n">
        <v>0</v>
      </c>
      <c r="R330" s="2" t="inlineStr"/>
    </row>
    <row r="331" ht="15" customHeight="1">
      <c r="A331" t="inlineStr">
        <is>
          <t>A 39746-2025</t>
        </is>
      </c>
      <c r="B331" s="1" t="n">
        <v>45891</v>
      </c>
      <c r="C331" s="1" t="n">
        <v>46094</v>
      </c>
      <c r="D331" t="inlineStr">
        <is>
          <t>UPPSALA LÄN</t>
        </is>
      </c>
      <c r="E331" t="inlineStr">
        <is>
          <t>ENKÖPING</t>
        </is>
      </c>
      <c r="G331" t="n">
        <v>7.4</v>
      </c>
      <c r="H331" t="n">
        <v>0</v>
      </c>
      <c r="I331" t="n">
        <v>0</v>
      </c>
      <c r="J331" t="n">
        <v>0</v>
      </c>
      <c r="K331" t="n">
        <v>0</v>
      </c>
      <c r="L331" t="n">
        <v>0</v>
      </c>
      <c r="M331" t="n">
        <v>0</v>
      </c>
      <c r="N331" t="n">
        <v>0</v>
      </c>
      <c r="O331" t="n">
        <v>0</v>
      </c>
      <c r="P331" t="n">
        <v>0</v>
      </c>
      <c r="Q331" t="n">
        <v>0</v>
      </c>
      <c r="R331" s="2" t="inlineStr"/>
    </row>
    <row r="332" ht="15" customHeight="1">
      <c r="A332" t="inlineStr">
        <is>
          <t>A 43488-2023</t>
        </is>
      </c>
      <c r="B332" s="1" t="n">
        <v>45181</v>
      </c>
      <c r="C332" s="1" t="n">
        <v>46094</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44232-2022</t>
        </is>
      </c>
      <c r="B333" s="1" t="n">
        <v>44839</v>
      </c>
      <c r="C333" s="1" t="n">
        <v>46094</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61106-2022</t>
        </is>
      </c>
      <c r="B334" s="1" t="n">
        <v>44915.4128587963</v>
      </c>
      <c r="C334" s="1" t="n">
        <v>46094</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21501-2025</t>
        </is>
      </c>
      <c r="B335" s="1" t="n">
        <v>45782</v>
      </c>
      <c r="C335" s="1" t="n">
        <v>46094</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9171-2024</t>
        </is>
      </c>
      <c r="B336" s="1" t="n">
        <v>45358</v>
      </c>
      <c r="C336" s="1" t="n">
        <v>46094</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34988-2025</t>
        </is>
      </c>
      <c r="B337" s="1" t="n">
        <v>45849</v>
      </c>
      <c r="C337" s="1" t="n">
        <v>46094</v>
      </c>
      <c r="D337" t="inlineStr">
        <is>
          <t>UPPSALA LÄN</t>
        </is>
      </c>
      <c r="E337" t="inlineStr">
        <is>
          <t>ENKÖPING</t>
        </is>
      </c>
      <c r="G337" t="n">
        <v>1.1</v>
      </c>
      <c r="H337" t="n">
        <v>0</v>
      </c>
      <c r="I337" t="n">
        <v>0</v>
      </c>
      <c r="J337" t="n">
        <v>0</v>
      </c>
      <c r="K337" t="n">
        <v>0</v>
      </c>
      <c r="L337" t="n">
        <v>0</v>
      </c>
      <c r="M337" t="n">
        <v>0</v>
      </c>
      <c r="N337" t="n">
        <v>0</v>
      </c>
      <c r="O337" t="n">
        <v>0</v>
      </c>
      <c r="P337" t="n">
        <v>0</v>
      </c>
      <c r="Q337" t="n">
        <v>0</v>
      </c>
      <c r="R337" s="2" t="inlineStr"/>
    </row>
    <row r="338" ht="15" customHeight="1">
      <c r="A338" t="inlineStr">
        <is>
          <t>A 39624-2023</t>
        </is>
      </c>
      <c r="B338" s="1" t="n">
        <v>45164</v>
      </c>
      <c r="C338" s="1" t="n">
        <v>46094</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34987-2025</t>
        </is>
      </c>
      <c r="B339" s="1" t="n">
        <v>45849</v>
      </c>
      <c r="C339" s="1" t="n">
        <v>46094</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20184-2023</t>
        </is>
      </c>
      <c r="B340" s="1" t="n">
        <v>45055.5670949074</v>
      </c>
      <c r="C340" s="1" t="n">
        <v>46094</v>
      </c>
      <c r="D340" t="inlineStr">
        <is>
          <t>UPPSALA LÄN</t>
        </is>
      </c>
      <c r="E340" t="inlineStr">
        <is>
          <t>ENKÖPING</t>
        </is>
      </c>
      <c r="G340" t="n">
        <v>3.2</v>
      </c>
      <c r="H340" t="n">
        <v>0</v>
      </c>
      <c r="I340" t="n">
        <v>0</v>
      </c>
      <c r="J340" t="n">
        <v>0</v>
      </c>
      <c r="K340" t="n">
        <v>0</v>
      </c>
      <c r="L340" t="n">
        <v>0</v>
      </c>
      <c r="M340" t="n">
        <v>0</v>
      </c>
      <c r="N340" t="n">
        <v>0</v>
      </c>
      <c r="O340" t="n">
        <v>0</v>
      </c>
      <c r="P340" t="n">
        <v>0</v>
      </c>
      <c r="Q340" t="n">
        <v>0</v>
      </c>
      <c r="R340" s="2" t="inlineStr"/>
    </row>
    <row r="341" ht="15" customHeight="1">
      <c r="A341" t="inlineStr">
        <is>
          <t>A 8152-2022</t>
        </is>
      </c>
      <c r="B341" s="1" t="n">
        <v>44609</v>
      </c>
      <c r="C341" s="1" t="n">
        <v>46094</v>
      </c>
      <c r="D341" t="inlineStr">
        <is>
          <t>UPPSALA LÄN</t>
        </is>
      </c>
      <c r="E341" t="inlineStr">
        <is>
          <t>ENKÖPING</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40223-2024</t>
        </is>
      </c>
      <c r="B342" s="1" t="n">
        <v>45554</v>
      </c>
      <c r="C342" s="1" t="n">
        <v>46094</v>
      </c>
      <c r="D342" t="inlineStr">
        <is>
          <t>UPPSALA LÄN</t>
        </is>
      </c>
      <c r="E342" t="inlineStr">
        <is>
          <t>ENKÖPING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43230-2023</t>
        </is>
      </c>
      <c r="B343" s="1" t="n">
        <v>45183</v>
      </c>
      <c r="C343" s="1" t="n">
        <v>46094</v>
      </c>
      <c r="D343" t="inlineStr">
        <is>
          <t>UPPSALA LÄN</t>
        </is>
      </c>
      <c r="E343" t="inlineStr">
        <is>
          <t>ENKÖPING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45362-2022</t>
        </is>
      </c>
      <c r="B344" s="1" t="n">
        <v>44844.62366898148</v>
      </c>
      <c r="C344" s="1" t="n">
        <v>46094</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72840-2021</t>
        </is>
      </c>
      <c r="B345" s="1" t="n">
        <v>44547</v>
      </c>
      <c r="C345" s="1" t="n">
        <v>46094</v>
      </c>
      <c r="D345" t="inlineStr">
        <is>
          <t>UPPSALA LÄN</t>
        </is>
      </c>
      <c r="E345" t="inlineStr">
        <is>
          <t>ENKÖPING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36492-2025</t>
        </is>
      </c>
      <c r="B346" s="1" t="n">
        <v>45869</v>
      </c>
      <c r="C346" s="1" t="n">
        <v>46094</v>
      </c>
      <c r="D346" t="inlineStr">
        <is>
          <t>UPPSALA LÄN</t>
        </is>
      </c>
      <c r="E346" t="inlineStr">
        <is>
          <t>ENKÖPING</t>
        </is>
      </c>
      <c r="G346" t="n">
        <v>6.3</v>
      </c>
      <c r="H346" t="n">
        <v>0</v>
      </c>
      <c r="I346" t="n">
        <v>0</v>
      </c>
      <c r="J346" t="n">
        <v>0</v>
      </c>
      <c r="K346" t="n">
        <v>0</v>
      </c>
      <c r="L346" t="n">
        <v>0</v>
      </c>
      <c r="M346" t="n">
        <v>0</v>
      </c>
      <c r="N346" t="n">
        <v>0</v>
      </c>
      <c r="O346" t="n">
        <v>0</v>
      </c>
      <c r="P346" t="n">
        <v>0</v>
      </c>
      <c r="Q346" t="n">
        <v>0</v>
      </c>
      <c r="R346" s="2" t="inlineStr"/>
    </row>
    <row r="347" ht="15" customHeight="1">
      <c r="A347" t="inlineStr">
        <is>
          <t>A 37035-2023</t>
        </is>
      </c>
      <c r="B347" s="1" t="n">
        <v>45155</v>
      </c>
      <c r="C347" s="1" t="n">
        <v>46094</v>
      </c>
      <c r="D347" t="inlineStr">
        <is>
          <t>UPPSALA LÄN</t>
        </is>
      </c>
      <c r="E347" t="inlineStr">
        <is>
          <t>ENKÖPING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36350-2025</t>
        </is>
      </c>
      <c r="B348" s="1" t="n">
        <v>45868</v>
      </c>
      <c r="C348" s="1" t="n">
        <v>46094</v>
      </c>
      <c r="D348" t="inlineStr">
        <is>
          <t>UPPSALA LÄN</t>
        </is>
      </c>
      <c r="E348" t="inlineStr">
        <is>
          <t>ENKÖPING</t>
        </is>
      </c>
      <c r="G348" t="n">
        <v>1.9</v>
      </c>
      <c r="H348" t="n">
        <v>0</v>
      </c>
      <c r="I348" t="n">
        <v>0</v>
      </c>
      <c r="J348" t="n">
        <v>0</v>
      </c>
      <c r="K348" t="n">
        <v>0</v>
      </c>
      <c r="L348" t="n">
        <v>0</v>
      </c>
      <c r="M348" t="n">
        <v>0</v>
      </c>
      <c r="N348" t="n">
        <v>0</v>
      </c>
      <c r="O348" t="n">
        <v>0</v>
      </c>
      <c r="P348" t="n">
        <v>0</v>
      </c>
      <c r="Q348" t="n">
        <v>0</v>
      </c>
      <c r="R348" s="2" t="inlineStr"/>
    </row>
    <row r="349" ht="15" customHeight="1">
      <c r="A349" t="inlineStr">
        <is>
          <t>A 52889-2022</t>
        </is>
      </c>
      <c r="B349" s="1" t="n">
        <v>44875</v>
      </c>
      <c r="C349" s="1" t="n">
        <v>46094</v>
      </c>
      <c r="D349" t="inlineStr">
        <is>
          <t>UPPSALA LÄN</t>
        </is>
      </c>
      <c r="E349" t="inlineStr">
        <is>
          <t>ENKÖPING</t>
        </is>
      </c>
      <c r="G349" t="n">
        <v>1.7</v>
      </c>
      <c r="H349" t="n">
        <v>0</v>
      </c>
      <c r="I349" t="n">
        <v>0</v>
      </c>
      <c r="J349" t="n">
        <v>0</v>
      </c>
      <c r="K349" t="n">
        <v>0</v>
      </c>
      <c r="L349" t="n">
        <v>0</v>
      </c>
      <c r="M349" t="n">
        <v>0</v>
      </c>
      <c r="N349" t="n">
        <v>0</v>
      </c>
      <c r="O349" t="n">
        <v>0</v>
      </c>
      <c r="P349" t="n">
        <v>0</v>
      </c>
      <c r="Q349" t="n">
        <v>0</v>
      </c>
      <c r="R349" s="2" t="inlineStr"/>
    </row>
    <row r="350" ht="15" customHeight="1">
      <c r="A350" t="inlineStr">
        <is>
          <t>A 51030-2024</t>
        </is>
      </c>
      <c r="B350" s="1" t="n">
        <v>45603</v>
      </c>
      <c r="C350" s="1" t="n">
        <v>46094</v>
      </c>
      <c r="D350" t="inlineStr">
        <is>
          <t>UPPSALA LÄN</t>
        </is>
      </c>
      <c r="E350" t="inlineStr">
        <is>
          <t>ENKÖPING</t>
        </is>
      </c>
      <c r="G350" t="n">
        <v>2</v>
      </c>
      <c r="H350" t="n">
        <v>0</v>
      </c>
      <c r="I350" t="n">
        <v>0</v>
      </c>
      <c r="J350" t="n">
        <v>0</v>
      </c>
      <c r="K350" t="n">
        <v>0</v>
      </c>
      <c r="L350" t="n">
        <v>0</v>
      </c>
      <c r="M350" t="n">
        <v>0</v>
      </c>
      <c r="N350" t="n">
        <v>0</v>
      </c>
      <c r="O350" t="n">
        <v>0</v>
      </c>
      <c r="P350" t="n">
        <v>0</v>
      </c>
      <c r="Q350" t="n">
        <v>0</v>
      </c>
      <c r="R350" s="2" t="inlineStr"/>
    </row>
    <row r="351" ht="15" customHeight="1">
      <c r="A351" t="inlineStr">
        <is>
          <t>A 26292-2022</t>
        </is>
      </c>
      <c r="B351" s="1" t="n">
        <v>44735</v>
      </c>
      <c r="C351" s="1" t="n">
        <v>46094</v>
      </c>
      <c r="D351" t="inlineStr">
        <is>
          <t>UPPSALA LÄN</t>
        </is>
      </c>
      <c r="E351" t="inlineStr">
        <is>
          <t>ENKÖPING</t>
        </is>
      </c>
      <c r="F351" t="inlineStr">
        <is>
          <t>Kyrkan</t>
        </is>
      </c>
      <c r="G351" t="n">
        <v>4.6</v>
      </c>
      <c r="H351" t="n">
        <v>0</v>
      </c>
      <c r="I351" t="n">
        <v>0</v>
      </c>
      <c r="J351" t="n">
        <v>0</v>
      </c>
      <c r="K351" t="n">
        <v>0</v>
      </c>
      <c r="L351" t="n">
        <v>0</v>
      </c>
      <c r="M351" t="n">
        <v>0</v>
      </c>
      <c r="N351" t="n">
        <v>0</v>
      </c>
      <c r="O351" t="n">
        <v>0</v>
      </c>
      <c r="P351" t="n">
        <v>0</v>
      </c>
      <c r="Q351" t="n">
        <v>0</v>
      </c>
      <c r="R351" s="2" t="inlineStr"/>
    </row>
    <row r="352" ht="15" customHeight="1">
      <c r="A352" t="inlineStr">
        <is>
          <t>A 4044-2024</t>
        </is>
      </c>
      <c r="B352" s="1" t="n">
        <v>45323.45954861111</v>
      </c>
      <c r="C352" s="1" t="n">
        <v>46094</v>
      </c>
      <c r="D352" t="inlineStr">
        <is>
          <t>UPPSALA LÄN</t>
        </is>
      </c>
      <c r="E352" t="inlineStr">
        <is>
          <t>ENKÖPING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34617-2022</t>
        </is>
      </c>
      <c r="B353" s="1" t="n">
        <v>44795</v>
      </c>
      <c r="C353" s="1" t="n">
        <v>46094</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33349-2024</t>
        </is>
      </c>
      <c r="B354" s="1" t="n">
        <v>45519</v>
      </c>
      <c r="C354" s="1" t="n">
        <v>46094</v>
      </c>
      <c r="D354" t="inlineStr">
        <is>
          <t>UPPSALA LÄN</t>
        </is>
      </c>
      <c r="E354" t="inlineStr">
        <is>
          <t>ENKÖPING</t>
        </is>
      </c>
      <c r="G354" t="n">
        <v>3.6</v>
      </c>
      <c r="H354" t="n">
        <v>0</v>
      </c>
      <c r="I354" t="n">
        <v>0</v>
      </c>
      <c r="J354" t="n">
        <v>0</v>
      </c>
      <c r="K354" t="n">
        <v>0</v>
      </c>
      <c r="L354" t="n">
        <v>0</v>
      </c>
      <c r="M354" t="n">
        <v>0</v>
      </c>
      <c r="N354" t="n">
        <v>0</v>
      </c>
      <c r="O354" t="n">
        <v>0</v>
      </c>
      <c r="P354" t="n">
        <v>0</v>
      </c>
      <c r="Q354" t="n">
        <v>0</v>
      </c>
      <c r="R354" s="2" t="inlineStr"/>
    </row>
    <row r="355" ht="15" customHeight="1">
      <c r="A355" t="inlineStr">
        <is>
          <t>A 1992-2022</t>
        </is>
      </c>
      <c r="B355" s="1" t="n">
        <v>44575.56153935185</v>
      </c>
      <c r="C355" s="1" t="n">
        <v>46094</v>
      </c>
      <c r="D355" t="inlineStr">
        <is>
          <t>UPPSALA LÄN</t>
        </is>
      </c>
      <c r="E355" t="inlineStr">
        <is>
          <t>ENKÖPING</t>
        </is>
      </c>
      <c r="G355" t="n">
        <v>2.8</v>
      </c>
      <c r="H355" t="n">
        <v>0</v>
      </c>
      <c r="I355" t="n">
        <v>0</v>
      </c>
      <c r="J355" t="n">
        <v>0</v>
      </c>
      <c r="K355" t="n">
        <v>0</v>
      </c>
      <c r="L355" t="n">
        <v>0</v>
      </c>
      <c r="M355" t="n">
        <v>0</v>
      </c>
      <c r="N355" t="n">
        <v>0</v>
      </c>
      <c r="O355" t="n">
        <v>0</v>
      </c>
      <c r="P355" t="n">
        <v>0</v>
      </c>
      <c r="Q355" t="n">
        <v>0</v>
      </c>
      <c r="R355" s="2" t="inlineStr"/>
    </row>
    <row r="356" ht="15" customHeight="1">
      <c r="A356" t="inlineStr">
        <is>
          <t>A 18583-2021</t>
        </is>
      </c>
      <c r="B356" s="1" t="n">
        <v>44306</v>
      </c>
      <c r="C356" s="1" t="n">
        <v>46094</v>
      </c>
      <c r="D356" t="inlineStr">
        <is>
          <t>UPPSALA LÄN</t>
        </is>
      </c>
      <c r="E356" t="inlineStr">
        <is>
          <t>ENKÖPING</t>
        </is>
      </c>
      <c r="G356" t="n">
        <v>0.4</v>
      </c>
      <c r="H356" t="n">
        <v>0</v>
      </c>
      <c r="I356" t="n">
        <v>0</v>
      </c>
      <c r="J356" t="n">
        <v>0</v>
      </c>
      <c r="K356" t="n">
        <v>0</v>
      </c>
      <c r="L356" t="n">
        <v>0</v>
      </c>
      <c r="M356" t="n">
        <v>0</v>
      </c>
      <c r="N356" t="n">
        <v>0</v>
      </c>
      <c r="O356" t="n">
        <v>0</v>
      </c>
      <c r="P356" t="n">
        <v>0</v>
      </c>
      <c r="Q356" t="n">
        <v>0</v>
      </c>
      <c r="R356" s="2" t="inlineStr"/>
    </row>
    <row r="357" ht="15" customHeight="1">
      <c r="A357" t="inlineStr">
        <is>
          <t>A 22912-2024</t>
        </is>
      </c>
      <c r="B357" s="1" t="n">
        <v>45448.73118055556</v>
      </c>
      <c r="C357" s="1" t="n">
        <v>46094</v>
      </c>
      <c r="D357" t="inlineStr">
        <is>
          <t>UPPSALA LÄN</t>
        </is>
      </c>
      <c r="E357" t="inlineStr">
        <is>
          <t>ENKÖPING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1695-2025</t>
        </is>
      </c>
      <c r="B358" s="1" t="n">
        <v>45670</v>
      </c>
      <c r="C358" s="1" t="n">
        <v>46094</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21612-2023</t>
        </is>
      </c>
      <c r="B359" s="1" t="n">
        <v>45063</v>
      </c>
      <c r="C359" s="1" t="n">
        <v>46094</v>
      </c>
      <c r="D359" t="inlineStr">
        <is>
          <t>UPPSALA LÄN</t>
        </is>
      </c>
      <c r="E359" t="inlineStr">
        <is>
          <t>ENKÖPING</t>
        </is>
      </c>
      <c r="F359" t="inlineStr">
        <is>
          <t>Allmännings- och besparingsskogar</t>
        </is>
      </c>
      <c r="G359" t="n">
        <v>1</v>
      </c>
      <c r="H359" t="n">
        <v>0</v>
      </c>
      <c r="I359" t="n">
        <v>0</v>
      </c>
      <c r="J359" t="n">
        <v>0</v>
      </c>
      <c r="K359" t="n">
        <v>0</v>
      </c>
      <c r="L359" t="n">
        <v>0</v>
      </c>
      <c r="M359" t="n">
        <v>0</v>
      </c>
      <c r="N359" t="n">
        <v>0</v>
      </c>
      <c r="O359" t="n">
        <v>0</v>
      </c>
      <c r="P359" t="n">
        <v>0</v>
      </c>
      <c r="Q359" t="n">
        <v>0</v>
      </c>
      <c r="R359" s="2" t="inlineStr"/>
    </row>
    <row r="360" ht="15" customHeight="1">
      <c r="A360" t="inlineStr">
        <is>
          <t>A 36599-2025</t>
        </is>
      </c>
      <c r="B360" s="1" t="n">
        <v>45870.51723379629</v>
      </c>
      <c r="C360" s="1" t="n">
        <v>46094</v>
      </c>
      <c r="D360" t="inlineStr">
        <is>
          <t>UPPSALA LÄN</t>
        </is>
      </c>
      <c r="E360" t="inlineStr">
        <is>
          <t>ENKÖPING</t>
        </is>
      </c>
      <c r="G360" t="n">
        <v>5.9</v>
      </c>
      <c r="H360" t="n">
        <v>0</v>
      </c>
      <c r="I360" t="n">
        <v>0</v>
      </c>
      <c r="J360" t="n">
        <v>0</v>
      </c>
      <c r="K360" t="n">
        <v>0</v>
      </c>
      <c r="L360" t="n">
        <v>0</v>
      </c>
      <c r="M360" t="n">
        <v>0</v>
      </c>
      <c r="N360" t="n">
        <v>0</v>
      </c>
      <c r="O360" t="n">
        <v>0</v>
      </c>
      <c r="P360" t="n">
        <v>0</v>
      </c>
      <c r="Q360" t="n">
        <v>0</v>
      </c>
      <c r="R360" s="2" t="inlineStr"/>
    </row>
    <row r="361" ht="15" customHeight="1">
      <c r="A361" t="inlineStr">
        <is>
          <t>A 14243-2025</t>
        </is>
      </c>
      <c r="B361" s="1" t="n">
        <v>45740.61288194444</v>
      </c>
      <c r="C361" s="1" t="n">
        <v>46094</v>
      </c>
      <c r="D361" t="inlineStr">
        <is>
          <t>UPPSALA LÄN</t>
        </is>
      </c>
      <c r="E361" t="inlineStr">
        <is>
          <t>ENKÖPING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54357-2023</t>
        </is>
      </c>
      <c r="B362" s="1" t="n">
        <v>45225</v>
      </c>
      <c r="C362" s="1" t="n">
        <v>46094</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33343-2024</t>
        </is>
      </c>
      <c r="B363" s="1" t="n">
        <v>45519</v>
      </c>
      <c r="C363" s="1" t="n">
        <v>46094</v>
      </c>
      <c r="D363" t="inlineStr">
        <is>
          <t>UPPSALA LÄN</t>
        </is>
      </c>
      <c r="E363" t="inlineStr">
        <is>
          <t>ENKÖPING</t>
        </is>
      </c>
      <c r="G363" t="n">
        <v>2</v>
      </c>
      <c r="H363" t="n">
        <v>0</v>
      </c>
      <c r="I363" t="n">
        <v>0</v>
      </c>
      <c r="J363" t="n">
        <v>0</v>
      </c>
      <c r="K363" t="n">
        <v>0</v>
      </c>
      <c r="L363" t="n">
        <v>0</v>
      </c>
      <c r="M363" t="n">
        <v>0</v>
      </c>
      <c r="N363" t="n">
        <v>0</v>
      </c>
      <c r="O363" t="n">
        <v>0</v>
      </c>
      <c r="P363" t="n">
        <v>0</v>
      </c>
      <c r="Q363" t="n">
        <v>0</v>
      </c>
      <c r="R363" s="2" t="inlineStr"/>
    </row>
    <row r="364" ht="15" customHeight="1">
      <c r="A364" t="inlineStr">
        <is>
          <t>A 24962-2023</t>
        </is>
      </c>
      <c r="B364" s="1" t="n">
        <v>45085.60123842592</v>
      </c>
      <c r="C364" s="1" t="n">
        <v>46094</v>
      </c>
      <c r="D364" t="inlineStr">
        <is>
          <t>UPPSALA LÄN</t>
        </is>
      </c>
      <c r="E364" t="inlineStr">
        <is>
          <t>ENKÖPING</t>
        </is>
      </c>
      <c r="G364" t="n">
        <v>2.8</v>
      </c>
      <c r="H364" t="n">
        <v>0</v>
      </c>
      <c r="I364" t="n">
        <v>0</v>
      </c>
      <c r="J364" t="n">
        <v>0</v>
      </c>
      <c r="K364" t="n">
        <v>0</v>
      </c>
      <c r="L364" t="n">
        <v>0</v>
      </c>
      <c r="M364" t="n">
        <v>0</v>
      </c>
      <c r="N364" t="n">
        <v>0</v>
      </c>
      <c r="O364" t="n">
        <v>0</v>
      </c>
      <c r="P364" t="n">
        <v>0</v>
      </c>
      <c r="Q364" t="n">
        <v>0</v>
      </c>
      <c r="R364" s="2" t="inlineStr"/>
    </row>
    <row r="365" ht="15" customHeight="1">
      <c r="A365" t="inlineStr">
        <is>
          <t>A 58961-2024</t>
        </is>
      </c>
      <c r="B365" s="1" t="n">
        <v>45636.585</v>
      </c>
      <c r="C365" s="1" t="n">
        <v>46094</v>
      </c>
      <c r="D365" t="inlineStr">
        <is>
          <t>UPPSALA LÄN</t>
        </is>
      </c>
      <c r="E365" t="inlineStr">
        <is>
          <t>ENKÖPING</t>
        </is>
      </c>
      <c r="G365" t="n">
        <v>4</v>
      </c>
      <c r="H365" t="n">
        <v>0</v>
      </c>
      <c r="I365" t="n">
        <v>0</v>
      </c>
      <c r="J365" t="n">
        <v>0</v>
      </c>
      <c r="K365" t="n">
        <v>0</v>
      </c>
      <c r="L365" t="n">
        <v>0</v>
      </c>
      <c r="M365" t="n">
        <v>0</v>
      </c>
      <c r="N365" t="n">
        <v>0</v>
      </c>
      <c r="O365" t="n">
        <v>0</v>
      </c>
      <c r="P365" t="n">
        <v>0</v>
      </c>
      <c r="Q365" t="n">
        <v>0</v>
      </c>
      <c r="R365" s="2" t="inlineStr"/>
    </row>
    <row r="366" ht="15" customHeight="1">
      <c r="A366" t="inlineStr">
        <is>
          <t>A 37498-2025</t>
        </is>
      </c>
      <c r="B366" s="1" t="n">
        <v>45877</v>
      </c>
      <c r="C366" s="1" t="n">
        <v>46094</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37296-2025</t>
        </is>
      </c>
      <c r="B367" s="1" t="n">
        <v>45876</v>
      </c>
      <c r="C367" s="1" t="n">
        <v>46094</v>
      </c>
      <c r="D367" t="inlineStr">
        <is>
          <t>UPPSALA LÄN</t>
        </is>
      </c>
      <c r="E367" t="inlineStr">
        <is>
          <t>ENKÖPING</t>
        </is>
      </c>
      <c r="G367" t="n">
        <v>9.5</v>
      </c>
      <c r="H367" t="n">
        <v>0</v>
      </c>
      <c r="I367" t="n">
        <v>0</v>
      </c>
      <c r="J367" t="n">
        <v>0</v>
      </c>
      <c r="K367" t="n">
        <v>0</v>
      </c>
      <c r="L367" t="n">
        <v>0</v>
      </c>
      <c r="M367" t="n">
        <v>0</v>
      </c>
      <c r="N367" t="n">
        <v>0</v>
      </c>
      <c r="O367" t="n">
        <v>0</v>
      </c>
      <c r="P367" t="n">
        <v>0</v>
      </c>
      <c r="Q367" t="n">
        <v>0</v>
      </c>
      <c r="R367" s="2" t="inlineStr"/>
    </row>
    <row r="368" ht="15" customHeight="1">
      <c r="A368" t="inlineStr">
        <is>
          <t>A 18302-2025</t>
        </is>
      </c>
      <c r="B368" s="1" t="n">
        <v>45762</v>
      </c>
      <c r="C368" s="1" t="n">
        <v>46094</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37319-2025</t>
        </is>
      </c>
      <c r="B369" s="1" t="n">
        <v>45876</v>
      </c>
      <c r="C369" s="1" t="n">
        <v>46094</v>
      </c>
      <c r="D369" t="inlineStr">
        <is>
          <t>UPPSALA LÄN</t>
        </is>
      </c>
      <c r="E369" t="inlineStr">
        <is>
          <t>ENKÖPING</t>
        </is>
      </c>
      <c r="G369" t="n">
        <v>9.5</v>
      </c>
      <c r="H369" t="n">
        <v>0</v>
      </c>
      <c r="I369" t="n">
        <v>0</v>
      </c>
      <c r="J369" t="n">
        <v>0</v>
      </c>
      <c r="K369" t="n">
        <v>0</v>
      </c>
      <c r="L369" t="n">
        <v>0</v>
      </c>
      <c r="M369" t="n">
        <v>0</v>
      </c>
      <c r="N369" t="n">
        <v>0</v>
      </c>
      <c r="O369" t="n">
        <v>0</v>
      </c>
      <c r="P369" t="n">
        <v>0</v>
      </c>
      <c r="Q369" t="n">
        <v>0</v>
      </c>
      <c r="R369" s="2" t="inlineStr"/>
    </row>
    <row r="370" ht="15" customHeight="1">
      <c r="A370" t="inlineStr">
        <is>
          <t>A 28243-2023</t>
        </is>
      </c>
      <c r="B370" s="1" t="n">
        <v>45099.58885416666</v>
      </c>
      <c r="C370" s="1" t="n">
        <v>46094</v>
      </c>
      <c r="D370" t="inlineStr">
        <is>
          <t>UPPSALA LÄN</t>
        </is>
      </c>
      <c r="E370" t="inlineStr">
        <is>
          <t>ENKÖPING</t>
        </is>
      </c>
      <c r="G370" t="n">
        <v>1.9</v>
      </c>
      <c r="H370" t="n">
        <v>0</v>
      </c>
      <c r="I370" t="n">
        <v>0</v>
      </c>
      <c r="J370" t="n">
        <v>0</v>
      </c>
      <c r="K370" t="n">
        <v>0</v>
      </c>
      <c r="L370" t="n">
        <v>0</v>
      </c>
      <c r="M370" t="n">
        <v>0</v>
      </c>
      <c r="N370" t="n">
        <v>0</v>
      </c>
      <c r="O370" t="n">
        <v>0</v>
      </c>
      <c r="P370" t="n">
        <v>0</v>
      </c>
      <c r="Q370" t="n">
        <v>0</v>
      </c>
      <c r="R370" s="2" t="inlineStr"/>
    </row>
    <row r="371" ht="15" customHeight="1">
      <c r="A371" t="inlineStr">
        <is>
          <t>A 53595-2023</t>
        </is>
      </c>
      <c r="B371" s="1" t="n">
        <v>45223</v>
      </c>
      <c r="C371" s="1" t="n">
        <v>46094</v>
      </c>
      <c r="D371" t="inlineStr">
        <is>
          <t>UPPSALA LÄN</t>
        </is>
      </c>
      <c r="E371" t="inlineStr">
        <is>
          <t>ENKÖPING</t>
        </is>
      </c>
      <c r="G371" t="n">
        <v>2.6</v>
      </c>
      <c r="H371" t="n">
        <v>0</v>
      </c>
      <c r="I371" t="n">
        <v>0</v>
      </c>
      <c r="J371" t="n">
        <v>0</v>
      </c>
      <c r="K371" t="n">
        <v>0</v>
      </c>
      <c r="L371" t="n">
        <v>0</v>
      </c>
      <c r="M371" t="n">
        <v>0</v>
      </c>
      <c r="N371" t="n">
        <v>0</v>
      </c>
      <c r="O371" t="n">
        <v>0</v>
      </c>
      <c r="P371" t="n">
        <v>0</v>
      </c>
      <c r="Q371" t="n">
        <v>0</v>
      </c>
      <c r="R371" s="2" t="inlineStr"/>
    </row>
    <row r="372" ht="15" customHeight="1">
      <c r="A372" t="inlineStr">
        <is>
          <t>A 15893-2024</t>
        </is>
      </c>
      <c r="B372" s="1" t="n">
        <v>45405</v>
      </c>
      <c r="C372" s="1" t="n">
        <v>46094</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49622-2024</t>
        </is>
      </c>
      <c r="B373" s="1" t="n">
        <v>45596.58372685185</v>
      </c>
      <c r="C373" s="1" t="n">
        <v>46094</v>
      </c>
      <c r="D373" t="inlineStr">
        <is>
          <t>UPPSALA LÄN</t>
        </is>
      </c>
      <c r="E373" t="inlineStr">
        <is>
          <t>ENKÖPING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18028-2023</t>
        </is>
      </c>
      <c r="B374" s="1" t="n">
        <v>45040</v>
      </c>
      <c r="C374" s="1" t="n">
        <v>46094</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3235-2025</t>
        </is>
      </c>
      <c r="B375" s="1" t="n">
        <v>45679</v>
      </c>
      <c r="C375" s="1" t="n">
        <v>46094</v>
      </c>
      <c r="D375" t="inlineStr">
        <is>
          <t>UPPSALA LÄN</t>
        </is>
      </c>
      <c r="E375" t="inlineStr">
        <is>
          <t>ENKÖPING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41828-2024</t>
        </is>
      </c>
      <c r="B376" s="1" t="n">
        <v>45561</v>
      </c>
      <c r="C376" s="1" t="n">
        <v>46094</v>
      </c>
      <c r="D376" t="inlineStr">
        <is>
          <t>UPPSALA LÄN</t>
        </is>
      </c>
      <c r="E376" t="inlineStr">
        <is>
          <t>ENKÖPING</t>
        </is>
      </c>
      <c r="G376" t="n">
        <v>2.5</v>
      </c>
      <c r="H376" t="n">
        <v>0</v>
      </c>
      <c r="I376" t="n">
        <v>0</v>
      </c>
      <c r="J376" t="n">
        <v>0</v>
      </c>
      <c r="K376" t="n">
        <v>0</v>
      </c>
      <c r="L376" t="n">
        <v>0</v>
      </c>
      <c r="M376" t="n">
        <v>0</v>
      </c>
      <c r="N376" t="n">
        <v>0</v>
      </c>
      <c r="O376" t="n">
        <v>0</v>
      </c>
      <c r="P376" t="n">
        <v>0</v>
      </c>
      <c r="Q376" t="n">
        <v>0</v>
      </c>
      <c r="R376" s="2" t="inlineStr"/>
    </row>
    <row r="377" ht="15" customHeight="1">
      <c r="A377" t="inlineStr">
        <is>
          <t>A 1536-2024</t>
        </is>
      </c>
      <c r="B377" s="1" t="n">
        <v>45306</v>
      </c>
      <c r="C377" s="1" t="n">
        <v>46094</v>
      </c>
      <c r="D377" t="inlineStr">
        <is>
          <t>UPPSALA LÄN</t>
        </is>
      </c>
      <c r="E377" t="inlineStr">
        <is>
          <t>ENKÖPING</t>
        </is>
      </c>
      <c r="F377" t="inlineStr">
        <is>
          <t>Kyrkan</t>
        </is>
      </c>
      <c r="G377" t="n">
        <v>5.6</v>
      </c>
      <c r="H377" t="n">
        <v>0</v>
      </c>
      <c r="I377" t="n">
        <v>0</v>
      </c>
      <c r="J377" t="n">
        <v>0</v>
      </c>
      <c r="K377" t="n">
        <v>0</v>
      </c>
      <c r="L377" t="n">
        <v>0</v>
      </c>
      <c r="M377" t="n">
        <v>0</v>
      </c>
      <c r="N377" t="n">
        <v>0</v>
      </c>
      <c r="O377" t="n">
        <v>0</v>
      </c>
      <c r="P377" t="n">
        <v>0</v>
      </c>
      <c r="Q377" t="n">
        <v>0</v>
      </c>
      <c r="R377" s="2" t="inlineStr"/>
    </row>
    <row r="378" ht="15" customHeight="1">
      <c r="A378" t="inlineStr">
        <is>
          <t>A 42564-2024</t>
        </is>
      </c>
      <c r="B378" s="1" t="n">
        <v>45565.63358796296</v>
      </c>
      <c r="C378" s="1" t="n">
        <v>46094</v>
      </c>
      <c r="D378" t="inlineStr">
        <is>
          <t>UPPSALA LÄN</t>
        </is>
      </c>
      <c r="E378" t="inlineStr">
        <is>
          <t>ENKÖPING</t>
        </is>
      </c>
      <c r="G378" t="n">
        <v>1.7</v>
      </c>
      <c r="H378" t="n">
        <v>0</v>
      </c>
      <c r="I378" t="n">
        <v>0</v>
      </c>
      <c r="J378" t="n">
        <v>0</v>
      </c>
      <c r="K378" t="n">
        <v>0</v>
      </c>
      <c r="L378" t="n">
        <v>0</v>
      </c>
      <c r="M378" t="n">
        <v>0</v>
      </c>
      <c r="N378" t="n">
        <v>0</v>
      </c>
      <c r="O378" t="n">
        <v>0</v>
      </c>
      <c r="P378" t="n">
        <v>0</v>
      </c>
      <c r="Q378" t="n">
        <v>0</v>
      </c>
      <c r="R378" s="2" t="inlineStr"/>
    </row>
    <row r="379" ht="15" customHeight="1">
      <c r="A379" t="inlineStr">
        <is>
          <t>A 43492-2023</t>
        </is>
      </c>
      <c r="B379" s="1" t="n">
        <v>45181</v>
      </c>
      <c r="C379" s="1" t="n">
        <v>46094</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48843-2023</t>
        </is>
      </c>
      <c r="B380" s="1" t="n">
        <v>45209</v>
      </c>
      <c r="C380" s="1" t="n">
        <v>46094</v>
      </c>
      <c r="D380" t="inlineStr">
        <is>
          <t>UPPSALA LÄN</t>
        </is>
      </c>
      <c r="E380" t="inlineStr">
        <is>
          <t>ENKÖPING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6626-2023</t>
        </is>
      </c>
      <c r="B381" s="1" t="n">
        <v>44966.55946759259</v>
      </c>
      <c r="C381" s="1" t="n">
        <v>46094</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33670-2024</t>
        </is>
      </c>
      <c r="B382" s="1" t="n">
        <v>45520</v>
      </c>
      <c r="C382" s="1" t="n">
        <v>46094</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19376-2024</t>
        </is>
      </c>
      <c r="B383" s="1" t="n">
        <v>45429</v>
      </c>
      <c r="C383" s="1" t="n">
        <v>46094</v>
      </c>
      <c r="D383" t="inlineStr">
        <is>
          <t>UPPSALA LÄN</t>
        </is>
      </c>
      <c r="E383" t="inlineStr">
        <is>
          <t>ENKÖPING</t>
        </is>
      </c>
      <c r="G383" t="n">
        <v>1.6</v>
      </c>
      <c r="H383" t="n">
        <v>0</v>
      </c>
      <c r="I383" t="n">
        <v>0</v>
      </c>
      <c r="J383" t="n">
        <v>0</v>
      </c>
      <c r="K383" t="n">
        <v>0</v>
      </c>
      <c r="L383" t="n">
        <v>0</v>
      </c>
      <c r="M383" t="n">
        <v>0</v>
      </c>
      <c r="N383" t="n">
        <v>0</v>
      </c>
      <c r="O383" t="n">
        <v>0</v>
      </c>
      <c r="P383" t="n">
        <v>0</v>
      </c>
      <c r="Q383" t="n">
        <v>0</v>
      </c>
      <c r="R383" s="2" t="inlineStr"/>
    </row>
    <row r="384" ht="15" customHeight="1">
      <c r="A384" t="inlineStr">
        <is>
          <t>A 17165-2025</t>
        </is>
      </c>
      <c r="B384" s="1" t="n">
        <v>45756</v>
      </c>
      <c r="C384" s="1" t="n">
        <v>46094</v>
      </c>
      <c r="D384" t="inlineStr">
        <is>
          <t>UPPSALA LÄN</t>
        </is>
      </c>
      <c r="E384" t="inlineStr">
        <is>
          <t>ENKÖPING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5013-2025</t>
        </is>
      </c>
      <c r="B385" s="1" t="n">
        <v>45691</v>
      </c>
      <c r="C385" s="1" t="n">
        <v>46094</v>
      </c>
      <c r="D385" t="inlineStr">
        <is>
          <t>UPPSALA LÄN</t>
        </is>
      </c>
      <c r="E385" t="inlineStr">
        <is>
          <t>ENKÖPING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37170-2021</t>
        </is>
      </c>
      <c r="B386" s="1" t="n">
        <v>44395</v>
      </c>
      <c r="C386" s="1" t="n">
        <v>46094</v>
      </c>
      <c r="D386" t="inlineStr">
        <is>
          <t>UPPSALA LÄN</t>
        </is>
      </c>
      <c r="E386" t="inlineStr">
        <is>
          <t>ENKÖPING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12020-2024</t>
        </is>
      </c>
      <c r="B387" s="1" t="n">
        <v>45377</v>
      </c>
      <c r="C387" s="1" t="n">
        <v>46094</v>
      </c>
      <c r="D387" t="inlineStr">
        <is>
          <t>UPPSALA LÄN</t>
        </is>
      </c>
      <c r="E387" t="inlineStr">
        <is>
          <t>ENKÖPING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58147-2024</t>
        </is>
      </c>
      <c r="B388" s="1" t="n">
        <v>45632.4334375</v>
      </c>
      <c r="C388" s="1" t="n">
        <v>46094</v>
      </c>
      <c r="D388" t="inlineStr">
        <is>
          <t>UPPSALA LÄN</t>
        </is>
      </c>
      <c r="E388" t="inlineStr">
        <is>
          <t>ENKÖPING</t>
        </is>
      </c>
      <c r="G388" t="n">
        <v>3</v>
      </c>
      <c r="H388" t="n">
        <v>0</v>
      </c>
      <c r="I388" t="n">
        <v>0</v>
      </c>
      <c r="J388" t="n">
        <v>0</v>
      </c>
      <c r="K388" t="n">
        <v>0</v>
      </c>
      <c r="L388" t="n">
        <v>0</v>
      </c>
      <c r="M388" t="n">
        <v>0</v>
      </c>
      <c r="N388" t="n">
        <v>0</v>
      </c>
      <c r="O388" t="n">
        <v>0</v>
      </c>
      <c r="P388" t="n">
        <v>0</v>
      </c>
      <c r="Q388" t="n">
        <v>0</v>
      </c>
      <c r="R388" s="2" t="inlineStr"/>
    </row>
    <row r="389" ht="15" customHeight="1">
      <c r="A389" t="inlineStr">
        <is>
          <t>A 10465-2022</t>
        </is>
      </c>
      <c r="B389" s="1" t="n">
        <v>44623</v>
      </c>
      <c r="C389" s="1" t="n">
        <v>46094</v>
      </c>
      <c r="D389" t="inlineStr">
        <is>
          <t>UPPSALA LÄN</t>
        </is>
      </c>
      <c r="E389" t="inlineStr">
        <is>
          <t>ENKÖPING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14332-2024</t>
        </is>
      </c>
      <c r="B390" s="1" t="n">
        <v>45393</v>
      </c>
      <c r="C390" s="1" t="n">
        <v>46094</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61207-2023</t>
        </is>
      </c>
      <c r="B391" s="1" t="n">
        <v>45264.39444444444</v>
      </c>
      <c r="C391" s="1" t="n">
        <v>46094</v>
      </c>
      <c r="D391" t="inlineStr">
        <is>
          <t>UPPSALA LÄN</t>
        </is>
      </c>
      <c r="E391" t="inlineStr">
        <is>
          <t>ENKÖPING</t>
        </is>
      </c>
      <c r="G391" t="n">
        <v>10.8</v>
      </c>
      <c r="H391" t="n">
        <v>0</v>
      </c>
      <c r="I391" t="n">
        <v>0</v>
      </c>
      <c r="J391" t="n">
        <v>0</v>
      </c>
      <c r="K391" t="n">
        <v>0</v>
      </c>
      <c r="L391" t="n">
        <v>0</v>
      </c>
      <c r="M391" t="n">
        <v>0</v>
      </c>
      <c r="N391" t="n">
        <v>0</v>
      </c>
      <c r="O391" t="n">
        <v>0</v>
      </c>
      <c r="P391" t="n">
        <v>0</v>
      </c>
      <c r="Q391" t="n">
        <v>0</v>
      </c>
      <c r="R391" s="2" t="inlineStr"/>
    </row>
    <row r="392" ht="15" customHeight="1">
      <c r="A392" t="inlineStr">
        <is>
          <t>A 3550-2023</t>
        </is>
      </c>
      <c r="B392" s="1" t="n">
        <v>44950</v>
      </c>
      <c r="C392" s="1" t="n">
        <v>46094</v>
      </c>
      <c r="D392" t="inlineStr">
        <is>
          <t>UPPSALA LÄN</t>
        </is>
      </c>
      <c r="E392" t="inlineStr">
        <is>
          <t>ENKÖPING</t>
        </is>
      </c>
      <c r="G392" t="n">
        <v>0.9</v>
      </c>
      <c r="H392" t="n">
        <v>0</v>
      </c>
      <c r="I392" t="n">
        <v>0</v>
      </c>
      <c r="J392" t="n">
        <v>0</v>
      </c>
      <c r="K392" t="n">
        <v>0</v>
      </c>
      <c r="L392" t="n">
        <v>0</v>
      </c>
      <c r="M392" t="n">
        <v>0</v>
      </c>
      <c r="N392" t="n">
        <v>0</v>
      </c>
      <c r="O392" t="n">
        <v>0</v>
      </c>
      <c r="P392" t="n">
        <v>0</v>
      </c>
      <c r="Q392" t="n">
        <v>0</v>
      </c>
      <c r="R392" s="2" t="inlineStr"/>
    </row>
    <row r="393" ht="15" customHeight="1">
      <c r="A393" t="inlineStr">
        <is>
          <t>A 19014-2025</t>
        </is>
      </c>
      <c r="B393" s="1" t="n">
        <v>45764.59631944444</v>
      </c>
      <c r="C393" s="1" t="n">
        <v>46094</v>
      </c>
      <c r="D393" t="inlineStr">
        <is>
          <t>UPPSALA LÄN</t>
        </is>
      </c>
      <c r="E393" t="inlineStr">
        <is>
          <t>ENKÖPING</t>
        </is>
      </c>
      <c r="G393" t="n">
        <v>0.2</v>
      </c>
      <c r="H393" t="n">
        <v>0</v>
      </c>
      <c r="I393" t="n">
        <v>0</v>
      </c>
      <c r="J393" t="n">
        <v>0</v>
      </c>
      <c r="K393" t="n">
        <v>0</v>
      </c>
      <c r="L393" t="n">
        <v>0</v>
      </c>
      <c r="M393" t="n">
        <v>0</v>
      </c>
      <c r="N393" t="n">
        <v>0</v>
      </c>
      <c r="O393" t="n">
        <v>0</v>
      </c>
      <c r="P393" t="n">
        <v>0</v>
      </c>
      <c r="Q393" t="n">
        <v>0</v>
      </c>
      <c r="R393" s="2" t="inlineStr"/>
    </row>
    <row r="394" ht="15" customHeight="1">
      <c r="A394" t="inlineStr">
        <is>
          <t>A 40812-2022</t>
        </is>
      </c>
      <c r="B394" s="1" t="n">
        <v>44824.68791666667</v>
      </c>
      <c r="C394" s="1" t="n">
        <v>46094</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41616-2025</t>
        </is>
      </c>
      <c r="B395" s="1" t="n">
        <v>45901.69684027778</v>
      </c>
      <c r="C395" s="1" t="n">
        <v>46094</v>
      </c>
      <c r="D395" t="inlineStr">
        <is>
          <t>UPPSALA LÄN</t>
        </is>
      </c>
      <c r="E395" t="inlineStr">
        <is>
          <t>ENKÖPING</t>
        </is>
      </c>
      <c r="F395" t="inlineStr">
        <is>
          <t>Allmännings- och besparingsskogar</t>
        </is>
      </c>
      <c r="G395" t="n">
        <v>17.3</v>
      </c>
      <c r="H395" t="n">
        <v>0</v>
      </c>
      <c r="I395" t="n">
        <v>0</v>
      </c>
      <c r="J395" t="n">
        <v>0</v>
      </c>
      <c r="K395" t="n">
        <v>0</v>
      </c>
      <c r="L395" t="n">
        <v>0</v>
      </c>
      <c r="M395" t="n">
        <v>0</v>
      </c>
      <c r="N395" t="n">
        <v>0</v>
      </c>
      <c r="O395" t="n">
        <v>0</v>
      </c>
      <c r="P395" t="n">
        <v>0</v>
      </c>
      <c r="Q395" t="n">
        <v>0</v>
      </c>
      <c r="R395" s="2" t="inlineStr"/>
    </row>
    <row r="396" ht="15" customHeight="1">
      <c r="A396" t="inlineStr">
        <is>
          <t>A 43691-2024</t>
        </is>
      </c>
      <c r="B396" s="1" t="n">
        <v>45569</v>
      </c>
      <c r="C396" s="1" t="n">
        <v>46094</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12958-2024</t>
        </is>
      </c>
      <c r="B397" s="1" t="n">
        <v>45385</v>
      </c>
      <c r="C397" s="1" t="n">
        <v>46094</v>
      </c>
      <c r="D397" t="inlineStr">
        <is>
          <t>UPPSALA LÄN</t>
        </is>
      </c>
      <c r="E397" t="inlineStr">
        <is>
          <t>ENKÖPING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1651-2024</t>
        </is>
      </c>
      <c r="B398" s="1" t="n">
        <v>45306.73770833333</v>
      </c>
      <c r="C398" s="1" t="n">
        <v>46094</v>
      </c>
      <c r="D398" t="inlineStr">
        <is>
          <t>UPPSALA LÄN</t>
        </is>
      </c>
      <c r="E398" t="inlineStr">
        <is>
          <t>ENKÖPING</t>
        </is>
      </c>
      <c r="G398" t="n">
        <v>10.2</v>
      </c>
      <c r="H398" t="n">
        <v>0</v>
      </c>
      <c r="I398" t="n">
        <v>0</v>
      </c>
      <c r="J398" t="n">
        <v>0</v>
      </c>
      <c r="K398" t="n">
        <v>0</v>
      </c>
      <c r="L398" t="n">
        <v>0</v>
      </c>
      <c r="M398" t="n">
        <v>0</v>
      </c>
      <c r="N398" t="n">
        <v>0</v>
      </c>
      <c r="O398" t="n">
        <v>0</v>
      </c>
      <c r="P398" t="n">
        <v>0</v>
      </c>
      <c r="Q398" t="n">
        <v>0</v>
      </c>
      <c r="R398" s="2" t="inlineStr"/>
    </row>
    <row r="399" ht="15" customHeight="1">
      <c r="A399" t="inlineStr">
        <is>
          <t>A 25333-2023</t>
        </is>
      </c>
      <c r="B399" s="1" t="n">
        <v>45083</v>
      </c>
      <c r="C399" s="1" t="n">
        <v>46094</v>
      </c>
      <c r="D399" t="inlineStr">
        <is>
          <t>UPPSALA LÄN</t>
        </is>
      </c>
      <c r="E399" t="inlineStr">
        <is>
          <t>ENKÖPING</t>
        </is>
      </c>
      <c r="G399" t="n">
        <v>2.7</v>
      </c>
      <c r="H399" t="n">
        <v>0</v>
      </c>
      <c r="I399" t="n">
        <v>0</v>
      </c>
      <c r="J399" t="n">
        <v>0</v>
      </c>
      <c r="K399" t="n">
        <v>0</v>
      </c>
      <c r="L399" t="n">
        <v>0</v>
      </c>
      <c r="M399" t="n">
        <v>0</v>
      </c>
      <c r="N399" t="n">
        <v>0</v>
      </c>
      <c r="O399" t="n">
        <v>0</v>
      </c>
      <c r="P399" t="n">
        <v>0</v>
      </c>
      <c r="Q399" t="n">
        <v>0</v>
      </c>
      <c r="R399" s="2" t="inlineStr"/>
    </row>
    <row r="400" ht="15" customHeight="1">
      <c r="A400" t="inlineStr">
        <is>
          <t>A 51012-2024</t>
        </is>
      </c>
      <c r="B400" s="1" t="n">
        <v>45603.39686342593</v>
      </c>
      <c r="C400" s="1" t="n">
        <v>46094</v>
      </c>
      <c r="D400" t="inlineStr">
        <is>
          <t>UPPSALA LÄN</t>
        </is>
      </c>
      <c r="E400" t="inlineStr">
        <is>
          <t>ENKÖPING</t>
        </is>
      </c>
      <c r="G400" t="n">
        <v>2.7</v>
      </c>
      <c r="H400" t="n">
        <v>0</v>
      </c>
      <c r="I400" t="n">
        <v>0</v>
      </c>
      <c r="J400" t="n">
        <v>0</v>
      </c>
      <c r="K400" t="n">
        <v>0</v>
      </c>
      <c r="L400" t="n">
        <v>0</v>
      </c>
      <c r="M400" t="n">
        <v>0</v>
      </c>
      <c r="N400" t="n">
        <v>0</v>
      </c>
      <c r="O400" t="n">
        <v>0</v>
      </c>
      <c r="P400" t="n">
        <v>0</v>
      </c>
      <c r="Q400" t="n">
        <v>0</v>
      </c>
      <c r="R400" s="2" t="inlineStr"/>
    </row>
    <row r="401" ht="15" customHeight="1">
      <c r="A401" t="inlineStr">
        <is>
          <t>A 41637-2025</t>
        </is>
      </c>
      <c r="B401" s="1" t="n">
        <v>45901</v>
      </c>
      <c r="C401" s="1" t="n">
        <v>46094</v>
      </c>
      <c r="D401" t="inlineStr">
        <is>
          <t>UPPSALA LÄN</t>
        </is>
      </c>
      <c r="E401" t="inlineStr">
        <is>
          <t>ENKÖPING</t>
        </is>
      </c>
      <c r="F401" t="inlineStr">
        <is>
          <t>Allmännings- och besparingsskogar</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3300-2025</t>
        </is>
      </c>
      <c r="B402" s="1" t="n">
        <v>45679</v>
      </c>
      <c r="C402" s="1" t="n">
        <v>46094</v>
      </c>
      <c r="D402" t="inlineStr">
        <is>
          <t>UPPSALA LÄN</t>
        </is>
      </c>
      <c r="E402" t="inlineStr">
        <is>
          <t>ENKÖPING</t>
        </is>
      </c>
      <c r="G402" t="n">
        <v>8.9</v>
      </c>
      <c r="H402" t="n">
        <v>0</v>
      </c>
      <c r="I402" t="n">
        <v>0</v>
      </c>
      <c r="J402" t="n">
        <v>0</v>
      </c>
      <c r="K402" t="n">
        <v>0</v>
      </c>
      <c r="L402" t="n">
        <v>0</v>
      </c>
      <c r="M402" t="n">
        <v>0</v>
      </c>
      <c r="N402" t="n">
        <v>0</v>
      </c>
      <c r="O402" t="n">
        <v>0</v>
      </c>
      <c r="P402" t="n">
        <v>0</v>
      </c>
      <c r="Q402" t="n">
        <v>0</v>
      </c>
      <c r="R402" s="2" t="inlineStr"/>
    </row>
    <row r="403" ht="15" customHeight="1">
      <c r="A403" t="inlineStr">
        <is>
          <t>A 57940-2022</t>
        </is>
      </c>
      <c r="B403" s="1" t="n">
        <v>44900</v>
      </c>
      <c r="C403" s="1" t="n">
        <v>46094</v>
      </c>
      <c r="D403" t="inlineStr">
        <is>
          <t>UPPSALA LÄN</t>
        </is>
      </c>
      <c r="E403" t="inlineStr">
        <is>
          <t>ENKÖPING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41618-2025</t>
        </is>
      </c>
      <c r="B404" s="1" t="n">
        <v>45901.70085648148</v>
      </c>
      <c r="C404" s="1" t="n">
        <v>46094</v>
      </c>
      <c r="D404" t="inlineStr">
        <is>
          <t>UPPSALA LÄN</t>
        </is>
      </c>
      <c r="E404" t="inlineStr">
        <is>
          <t>ENKÖPING</t>
        </is>
      </c>
      <c r="F404" t="inlineStr">
        <is>
          <t>Allmännings- och besparingsskogar</t>
        </is>
      </c>
      <c r="G404" t="n">
        <v>5.3</v>
      </c>
      <c r="H404" t="n">
        <v>0</v>
      </c>
      <c r="I404" t="n">
        <v>0</v>
      </c>
      <c r="J404" t="n">
        <v>0</v>
      </c>
      <c r="K404" t="n">
        <v>0</v>
      </c>
      <c r="L404" t="n">
        <v>0</v>
      </c>
      <c r="M404" t="n">
        <v>0</v>
      </c>
      <c r="N404" t="n">
        <v>0</v>
      </c>
      <c r="O404" t="n">
        <v>0</v>
      </c>
      <c r="P404" t="n">
        <v>0</v>
      </c>
      <c r="Q404" t="n">
        <v>0</v>
      </c>
      <c r="R404" s="2" t="inlineStr"/>
    </row>
    <row r="405" ht="15" customHeight="1">
      <c r="A405" t="inlineStr">
        <is>
          <t>A 12754-2025</t>
        </is>
      </c>
      <c r="B405" s="1" t="n">
        <v>45733.56331018519</v>
      </c>
      <c r="C405" s="1" t="n">
        <v>46094</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63310-2021</t>
        </is>
      </c>
      <c r="B406" s="1" t="n">
        <v>44508</v>
      </c>
      <c r="C406" s="1" t="n">
        <v>46094</v>
      </c>
      <c r="D406" t="inlineStr">
        <is>
          <t>UPPSALA LÄN</t>
        </is>
      </c>
      <c r="E406" t="inlineStr">
        <is>
          <t>ENKÖPING</t>
        </is>
      </c>
      <c r="G406" t="n">
        <v>3.5</v>
      </c>
      <c r="H406" t="n">
        <v>0</v>
      </c>
      <c r="I406" t="n">
        <v>0</v>
      </c>
      <c r="J406" t="n">
        <v>0</v>
      </c>
      <c r="K406" t="n">
        <v>0</v>
      </c>
      <c r="L406" t="n">
        <v>0</v>
      </c>
      <c r="M406" t="n">
        <v>0</v>
      </c>
      <c r="N406" t="n">
        <v>0</v>
      </c>
      <c r="O406" t="n">
        <v>0</v>
      </c>
      <c r="P406" t="n">
        <v>0</v>
      </c>
      <c r="Q406" t="n">
        <v>0</v>
      </c>
      <c r="R406" s="2" t="inlineStr"/>
    </row>
    <row r="407" ht="15" customHeight="1">
      <c r="A407" t="inlineStr">
        <is>
          <t>A 20440-2025</t>
        </is>
      </c>
      <c r="B407" s="1" t="n">
        <v>45775</v>
      </c>
      <c r="C407" s="1" t="n">
        <v>46094</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42029-2025</t>
        </is>
      </c>
      <c r="B408" s="1" t="n">
        <v>45903</v>
      </c>
      <c r="C408" s="1" t="n">
        <v>46094</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41765-2025</t>
        </is>
      </c>
      <c r="B409" s="1" t="n">
        <v>45902</v>
      </c>
      <c r="C409" s="1" t="n">
        <v>46094</v>
      </c>
      <c r="D409" t="inlineStr">
        <is>
          <t>UPPSALA LÄN</t>
        </is>
      </c>
      <c r="E409" t="inlineStr">
        <is>
          <t>ENKÖPING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16176-2025</t>
        </is>
      </c>
      <c r="B410" s="1" t="n">
        <v>45750</v>
      </c>
      <c r="C410" s="1" t="n">
        <v>46094</v>
      </c>
      <c r="D410" t="inlineStr">
        <is>
          <t>UPPSALA LÄN</t>
        </is>
      </c>
      <c r="E410" t="inlineStr">
        <is>
          <t>ENKÖPING</t>
        </is>
      </c>
      <c r="G410" t="n">
        <v>3.9</v>
      </c>
      <c r="H410" t="n">
        <v>0</v>
      </c>
      <c r="I410" t="n">
        <v>0</v>
      </c>
      <c r="J410" t="n">
        <v>0</v>
      </c>
      <c r="K410" t="n">
        <v>0</v>
      </c>
      <c r="L410" t="n">
        <v>0</v>
      </c>
      <c r="M410" t="n">
        <v>0</v>
      </c>
      <c r="N410" t="n">
        <v>0</v>
      </c>
      <c r="O410" t="n">
        <v>0</v>
      </c>
      <c r="P410" t="n">
        <v>0</v>
      </c>
      <c r="Q410" t="n">
        <v>0</v>
      </c>
      <c r="R410" s="2" t="inlineStr"/>
    </row>
    <row r="411" ht="15" customHeight="1">
      <c r="A411" t="inlineStr">
        <is>
          <t>A 56713-2024</t>
        </is>
      </c>
      <c r="B411" s="1" t="n">
        <v>45628</v>
      </c>
      <c r="C411" s="1" t="n">
        <v>46094</v>
      </c>
      <c r="D411" t="inlineStr">
        <is>
          <t>UPPSALA LÄN</t>
        </is>
      </c>
      <c r="E411" t="inlineStr">
        <is>
          <t>ENKÖPING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46094</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5188-2022</t>
        </is>
      </c>
      <c r="B413" s="1" t="n">
        <v>44594.4471412037</v>
      </c>
      <c r="C413" s="1" t="n">
        <v>46094</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47516-2022</t>
        </is>
      </c>
      <c r="B414" s="1" t="n">
        <v>44853.68895833333</v>
      </c>
      <c r="C414" s="1" t="n">
        <v>46094</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37870-2023</t>
        </is>
      </c>
      <c r="B415" s="1" t="n">
        <v>45160.41996527778</v>
      </c>
      <c r="C415" s="1" t="n">
        <v>46094</v>
      </c>
      <c r="D415" t="inlineStr">
        <is>
          <t>UPPSALA LÄN</t>
        </is>
      </c>
      <c r="E415" t="inlineStr">
        <is>
          <t>ENKÖPING</t>
        </is>
      </c>
      <c r="G415" t="n">
        <v>3.5</v>
      </c>
      <c r="H415" t="n">
        <v>0</v>
      </c>
      <c r="I415" t="n">
        <v>0</v>
      </c>
      <c r="J415" t="n">
        <v>0</v>
      </c>
      <c r="K415" t="n">
        <v>0</v>
      </c>
      <c r="L415" t="n">
        <v>0</v>
      </c>
      <c r="M415" t="n">
        <v>0</v>
      </c>
      <c r="N415" t="n">
        <v>0</v>
      </c>
      <c r="O415" t="n">
        <v>0</v>
      </c>
      <c r="P415" t="n">
        <v>0</v>
      </c>
      <c r="Q415" t="n">
        <v>0</v>
      </c>
      <c r="R415" s="2" t="inlineStr"/>
    </row>
    <row r="416" ht="15" customHeight="1">
      <c r="A416" t="inlineStr">
        <is>
          <t>A 22094-2023</t>
        </is>
      </c>
      <c r="B416" s="1" t="n">
        <v>45069</v>
      </c>
      <c r="C416" s="1" t="n">
        <v>46094</v>
      </c>
      <c r="D416" t="inlineStr">
        <is>
          <t>UPPSALA LÄN</t>
        </is>
      </c>
      <c r="E416" t="inlineStr">
        <is>
          <t>ENKÖPING</t>
        </is>
      </c>
      <c r="G416" t="n">
        <v>2.1</v>
      </c>
      <c r="H416" t="n">
        <v>0</v>
      </c>
      <c r="I416" t="n">
        <v>0</v>
      </c>
      <c r="J416" t="n">
        <v>0</v>
      </c>
      <c r="K416" t="n">
        <v>0</v>
      </c>
      <c r="L416" t="n">
        <v>0</v>
      </c>
      <c r="M416" t="n">
        <v>0</v>
      </c>
      <c r="N416" t="n">
        <v>0</v>
      </c>
      <c r="O416" t="n">
        <v>0</v>
      </c>
      <c r="P416" t="n">
        <v>0</v>
      </c>
      <c r="Q416" t="n">
        <v>0</v>
      </c>
      <c r="R416" s="2" t="inlineStr"/>
    </row>
    <row r="417" ht="15" customHeight="1">
      <c r="A417" t="inlineStr">
        <is>
          <t>A 31622-2022</t>
        </is>
      </c>
      <c r="B417" s="1" t="n">
        <v>44775</v>
      </c>
      <c r="C417" s="1" t="n">
        <v>46094</v>
      </c>
      <c r="D417" t="inlineStr">
        <is>
          <t>UPPSALA LÄN</t>
        </is>
      </c>
      <c r="E417" t="inlineStr">
        <is>
          <t>ENKÖPING</t>
        </is>
      </c>
      <c r="G417" t="n">
        <v>1.5</v>
      </c>
      <c r="H417" t="n">
        <v>0</v>
      </c>
      <c r="I417" t="n">
        <v>0</v>
      </c>
      <c r="J417" t="n">
        <v>0</v>
      </c>
      <c r="K417" t="n">
        <v>0</v>
      </c>
      <c r="L417" t="n">
        <v>0</v>
      </c>
      <c r="M417" t="n">
        <v>0</v>
      </c>
      <c r="N417" t="n">
        <v>0</v>
      </c>
      <c r="O417" t="n">
        <v>0</v>
      </c>
      <c r="P417" t="n">
        <v>0</v>
      </c>
      <c r="Q417" t="n">
        <v>0</v>
      </c>
      <c r="R417" s="2" t="inlineStr"/>
    </row>
    <row r="418" ht="15" customHeight="1">
      <c r="A418" t="inlineStr">
        <is>
          <t>A 15405-2025</t>
        </is>
      </c>
      <c r="B418" s="1" t="n">
        <v>45747.44670138889</v>
      </c>
      <c r="C418" s="1" t="n">
        <v>46094</v>
      </c>
      <c r="D418" t="inlineStr">
        <is>
          <t>UPPSALA LÄN</t>
        </is>
      </c>
      <c r="E418" t="inlineStr">
        <is>
          <t>ENKÖPING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35079-2024</t>
        </is>
      </c>
      <c r="B419" s="1" t="n">
        <v>45527.66770833333</v>
      </c>
      <c r="C419" s="1" t="n">
        <v>46094</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12102-2024</t>
        </is>
      </c>
      <c r="B420" s="1" t="n">
        <v>45377</v>
      </c>
      <c r="C420" s="1" t="n">
        <v>46094</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33581-2023</t>
        </is>
      </c>
      <c r="B421" s="1" t="n">
        <v>45131</v>
      </c>
      <c r="C421" s="1" t="n">
        <v>46094</v>
      </c>
      <c r="D421" t="inlineStr">
        <is>
          <t>UPPSALA LÄN</t>
        </is>
      </c>
      <c r="E421" t="inlineStr">
        <is>
          <t>ENKÖPING</t>
        </is>
      </c>
      <c r="G421" t="n">
        <v>3.5</v>
      </c>
      <c r="H421" t="n">
        <v>0</v>
      </c>
      <c r="I421" t="n">
        <v>0</v>
      </c>
      <c r="J421" t="n">
        <v>0</v>
      </c>
      <c r="K421" t="n">
        <v>0</v>
      </c>
      <c r="L421" t="n">
        <v>0</v>
      </c>
      <c r="M421" t="n">
        <v>0</v>
      </c>
      <c r="N421" t="n">
        <v>0</v>
      </c>
      <c r="O421" t="n">
        <v>0</v>
      </c>
      <c r="P421" t="n">
        <v>0</v>
      </c>
      <c r="Q421" t="n">
        <v>0</v>
      </c>
      <c r="R421" s="2" t="inlineStr"/>
    </row>
    <row r="422" ht="15" customHeight="1">
      <c r="A422" t="inlineStr">
        <is>
          <t>A 59602-2024</t>
        </is>
      </c>
      <c r="B422" s="1" t="n">
        <v>45638</v>
      </c>
      <c r="C422" s="1" t="n">
        <v>46094</v>
      </c>
      <c r="D422" t="inlineStr">
        <is>
          <t>UPPSALA LÄN</t>
        </is>
      </c>
      <c r="E422" t="inlineStr">
        <is>
          <t>ENKÖPING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41764-2025</t>
        </is>
      </c>
      <c r="B423" s="1" t="n">
        <v>45902</v>
      </c>
      <c r="C423" s="1" t="n">
        <v>46094</v>
      </c>
      <c r="D423" t="inlineStr">
        <is>
          <t>UPPSALA LÄN</t>
        </is>
      </c>
      <c r="E423" t="inlineStr">
        <is>
          <t>ENKÖPING</t>
        </is>
      </c>
      <c r="G423" t="n">
        <v>2.7</v>
      </c>
      <c r="H423" t="n">
        <v>0</v>
      </c>
      <c r="I423" t="n">
        <v>0</v>
      </c>
      <c r="J423" t="n">
        <v>0</v>
      </c>
      <c r="K423" t="n">
        <v>0</v>
      </c>
      <c r="L423" t="n">
        <v>0</v>
      </c>
      <c r="M423" t="n">
        <v>0</v>
      </c>
      <c r="N423" t="n">
        <v>0</v>
      </c>
      <c r="O423" t="n">
        <v>0</v>
      </c>
      <c r="P423" t="n">
        <v>0</v>
      </c>
      <c r="Q423" t="n">
        <v>0</v>
      </c>
      <c r="R423" s="2" t="inlineStr"/>
    </row>
    <row r="424" ht="15" customHeight="1">
      <c r="A424" t="inlineStr">
        <is>
          <t>A 56163-2021</t>
        </is>
      </c>
      <c r="B424" s="1" t="n">
        <v>44477</v>
      </c>
      <c r="C424" s="1" t="n">
        <v>46094</v>
      </c>
      <c r="D424" t="inlineStr">
        <is>
          <t>UPPSALA LÄN</t>
        </is>
      </c>
      <c r="E424" t="inlineStr">
        <is>
          <t>ENKÖPING</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47909-2024</t>
        </is>
      </c>
      <c r="B425" s="1" t="n">
        <v>45589.31866898148</v>
      </c>
      <c r="C425" s="1" t="n">
        <v>46094</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51042-2024</t>
        </is>
      </c>
      <c r="B426" s="1" t="n">
        <v>45603.4342824074</v>
      </c>
      <c r="C426" s="1" t="n">
        <v>46094</v>
      </c>
      <c r="D426" t="inlineStr">
        <is>
          <t>UPPSALA LÄN</t>
        </is>
      </c>
      <c r="E426" t="inlineStr">
        <is>
          <t>ENKÖPING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51037-2024</t>
        </is>
      </c>
      <c r="B427" s="1" t="n">
        <v>45603.43005787037</v>
      </c>
      <c r="C427" s="1" t="n">
        <v>46094</v>
      </c>
      <c r="D427" t="inlineStr">
        <is>
          <t>UPPSALA LÄN</t>
        </is>
      </c>
      <c r="E427" t="inlineStr">
        <is>
          <t>ENKÖPING</t>
        </is>
      </c>
      <c r="G427" t="n">
        <v>5.7</v>
      </c>
      <c r="H427" t="n">
        <v>0</v>
      </c>
      <c r="I427" t="n">
        <v>0</v>
      </c>
      <c r="J427" t="n">
        <v>0</v>
      </c>
      <c r="K427" t="n">
        <v>0</v>
      </c>
      <c r="L427" t="n">
        <v>0</v>
      </c>
      <c r="M427" t="n">
        <v>0</v>
      </c>
      <c r="N427" t="n">
        <v>0</v>
      </c>
      <c r="O427" t="n">
        <v>0</v>
      </c>
      <c r="P427" t="n">
        <v>0</v>
      </c>
      <c r="Q427" t="n">
        <v>0</v>
      </c>
      <c r="R427" s="2" t="inlineStr"/>
    </row>
    <row r="428" ht="15" customHeight="1">
      <c r="A428" t="inlineStr">
        <is>
          <t>A 51932-2022</t>
        </is>
      </c>
      <c r="B428" s="1" t="n">
        <v>44872</v>
      </c>
      <c r="C428" s="1" t="n">
        <v>46094</v>
      </c>
      <c r="D428" t="inlineStr">
        <is>
          <t>UPPSALA LÄN</t>
        </is>
      </c>
      <c r="E428" t="inlineStr">
        <is>
          <t>ENKÖPING</t>
        </is>
      </c>
      <c r="G428" t="n">
        <v>5.5</v>
      </c>
      <c r="H428" t="n">
        <v>0</v>
      </c>
      <c r="I428" t="n">
        <v>0</v>
      </c>
      <c r="J428" t="n">
        <v>0</v>
      </c>
      <c r="K428" t="n">
        <v>0</v>
      </c>
      <c r="L428" t="n">
        <v>0</v>
      </c>
      <c r="M428" t="n">
        <v>0</v>
      </c>
      <c r="N428" t="n">
        <v>0</v>
      </c>
      <c r="O428" t="n">
        <v>0</v>
      </c>
      <c r="P428" t="n">
        <v>0</v>
      </c>
      <c r="Q428" t="n">
        <v>0</v>
      </c>
      <c r="R428" s="2" t="inlineStr"/>
    </row>
    <row r="429" ht="15" customHeight="1">
      <c r="A429" t="inlineStr">
        <is>
          <t>A 42756-2025</t>
        </is>
      </c>
      <c r="B429" s="1" t="n">
        <v>45908</v>
      </c>
      <c r="C429" s="1" t="n">
        <v>46094</v>
      </c>
      <c r="D429" t="inlineStr">
        <is>
          <t>UPPSALA LÄN</t>
        </is>
      </c>
      <c r="E429" t="inlineStr">
        <is>
          <t>ENKÖPING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22632-2025</t>
        </is>
      </c>
      <c r="B430" s="1" t="n">
        <v>45789.44361111111</v>
      </c>
      <c r="C430" s="1" t="n">
        <v>46094</v>
      </c>
      <c r="D430" t="inlineStr">
        <is>
          <t>UPPSALA LÄN</t>
        </is>
      </c>
      <c r="E430" t="inlineStr">
        <is>
          <t>ENKÖPING</t>
        </is>
      </c>
      <c r="G430" t="n">
        <v>2.1</v>
      </c>
      <c r="H430" t="n">
        <v>0</v>
      </c>
      <c r="I430" t="n">
        <v>0</v>
      </c>
      <c r="J430" t="n">
        <v>0</v>
      </c>
      <c r="K430" t="n">
        <v>0</v>
      </c>
      <c r="L430" t="n">
        <v>0</v>
      </c>
      <c r="M430" t="n">
        <v>0</v>
      </c>
      <c r="N430" t="n">
        <v>0</v>
      </c>
      <c r="O430" t="n">
        <v>0</v>
      </c>
      <c r="P430" t="n">
        <v>0</v>
      </c>
      <c r="Q430" t="n">
        <v>0</v>
      </c>
      <c r="R430" s="2" t="inlineStr"/>
    </row>
    <row r="431" ht="15" customHeight="1">
      <c r="A431" t="inlineStr">
        <is>
          <t>A 51027-2024</t>
        </is>
      </c>
      <c r="B431" s="1" t="n">
        <v>45603</v>
      </c>
      <c r="C431" s="1" t="n">
        <v>46094</v>
      </c>
      <c r="D431" t="inlineStr">
        <is>
          <t>UPPSALA LÄN</t>
        </is>
      </c>
      <c r="E431" t="inlineStr">
        <is>
          <t>ENKÖPING</t>
        </is>
      </c>
      <c r="G431" t="n">
        <v>3.5</v>
      </c>
      <c r="H431" t="n">
        <v>0</v>
      </c>
      <c r="I431" t="n">
        <v>0</v>
      </c>
      <c r="J431" t="n">
        <v>0</v>
      </c>
      <c r="K431" t="n">
        <v>0</v>
      </c>
      <c r="L431" t="n">
        <v>0</v>
      </c>
      <c r="M431" t="n">
        <v>0</v>
      </c>
      <c r="N431" t="n">
        <v>0</v>
      </c>
      <c r="O431" t="n">
        <v>0</v>
      </c>
      <c r="P431" t="n">
        <v>0</v>
      </c>
      <c r="Q431" t="n">
        <v>0</v>
      </c>
      <c r="R431" s="2" t="inlineStr"/>
    </row>
    <row r="432" ht="15" customHeight="1">
      <c r="A432" t="inlineStr">
        <is>
          <t>A 59497-2022</t>
        </is>
      </c>
      <c r="B432" s="1" t="n">
        <v>44907.48258101852</v>
      </c>
      <c r="C432" s="1" t="n">
        <v>46094</v>
      </c>
      <c r="D432" t="inlineStr">
        <is>
          <t>UPPSALA LÄN</t>
        </is>
      </c>
      <c r="E432" t="inlineStr">
        <is>
          <t>ENKÖPING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9041-2023</t>
        </is>
      </c>
      <c r="B433" s="1" t="n">
        <v>44979</v>
      </c>
      <c r="C433" s="1" t="n">
        <v>46094</v>
      </c>
      <c r="D433" t="inlineStr">
        <is>
          <t>UPPSALA LÄN</t>
        </is>
      </c>
      <c r="E433" t="inlineStr">
        <is>
          <t>ENKÖPING</t>
        </is>
      </c>
      <c r="G433" t="n">
        <v>1</v>
      </c>
      <c r="H433" t="n">
        <v>0</v>
      </c>
      <c r="I433" t="n">
        <v>0</v>
      </c>
      <c r="J433" t="n">
        <v>0</v>
      </c>
      <c r="K433" t="n">
        <v>0</v>
      </c>
      <c r="L433" t="n">
        <v>0</v>
      </c>
      <c r="M433" t="n">
        <v>0</v>
      </c>
      <c r="N433" t="n">
        <v>0</v>
      </c>
      <c r="O433" t="n">
        <v>0</v>
      </c>
      <c r="P433" t="n">
        <v>0</v>
      </c>
      <c r="Q433" t="n">
        <v>0</v>
      </c>
      <c r="R433" s="2" t="inlineStr"/>
    </row>
    <row r="434" ht="15" customHeight="1">
      <c r="A434" t="inlineStr">
        <is>
          <t>A 43999-2025</t>
        </is>
      </c>
      <c r="B434" s="1" t="n">
        <v>45915.45158564814</v>
      </c>
      <c r="C434" s="1" t="n">
        <v>46094</v>
      </c>
      <c r="D434" t="inlineStr">
        <is>
          <t>UPPSALA LÄN</t>
        </is>
      </c>
      <c r="E434" t="inlineStr">
        <is>
          <t>ENKÖPING</t>
        </is>
      </c>
      <c r="G434" t="n">
        <v>4.1</v>
      </c>
      <c r="H434" t="n">
        <v>0</v>
      </c>
      <c r="I434" t="n">
        <v>0</v>
      </c>
      <c r="J434" t="n">
        <v>0</v>
      </c>
      <c r="K434" t="n">
        <v>0</v>
      </c>
      <c r="L434" t="n">
        <v>0</v>
      </c>
      <c r="M434" t="n">
        <v>0</v>
      </c>
      <c r="N434" t="n">
        <v>0</v>
      </c>
      <c r="O434" t="n">
        <v>0</v>
      </c>
      <c r="P434" t="n">
        <v>0</v>
      </c>
      <c r="Q434" t="n">
        <v>0</v>
      </c>
      <c r="R434" s="2" t="inlineStr"/>
    </row>
    <row r="435" ht="15" customHeight="1">
      <c r="A435" t="inlineStr">
        <is>
          <t>A 12755-2025</t>
        </is>
      </c>
      <c r="B435" s="1" t="n">
        <v>45733.56541666666</v>
      </c>
      <c r="C435" s="1" t="n">
        <v>46094</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59027-2024</t>
        </is>
      </c>
      <c r="B436" s="1" t="n">
        <v>45636.68755787037</v>
      </c>
      <c r="C436" s="1" t="n">
        <v>46094</v>
      </c>
      <c r="D436" t="inlineStr">
        <is>
          <t>UPPSALA LÄN</t>
        </is>
      </c>
      <c r="E436" t="inlineStr">
        <is>
          <t>ENKÖPING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44419-2025</t>
        </is>
      </c>
      <c r="B437" s="1" t="n">
        <v>45916.54671296296</v>
      </c>
      <c r="C437" s="1" t="n">
        <v>46094</v>
      </c>
      <c r="D437" t="inlineStr">
        <is>
          <t>UPPSALA LÄN</t>
        </is>
      </c>
      <c r="E437" t="inlineStr">
        <is>
          <t>ENKÖPING</t>
        </is>
      </c>
      <c r="G437" t="n">
        <v>1.6</v>
      </c>
      <c r="H437" t="n">
        <v>0</v>
      </c>
      <c r="I437" t="n">
        <v>0</v>
      </c>
      <c r="J437" t="n">
        <v>0</v>
      </c>
      <c r="K437" t="n">
        <v>0</v>
      </c>
      <c r="L437" t="n">
        <v>0</v>
      </c>
      <c r="M437" t="n">
        <v>0</v>
      </c>
      <c r="N437" t="n">
        <v>0</v>
      </c>
      <c r="O437" t="n">
        <v>0</v>
      </c>
      <c r="P437" t="n">
        <v>0</v>
      </c>
      <c r="Q437" t="n">
        <v>0</v>
      </c>
      <c r="R437" s="2" t="inlineStr"/>
    </row>
    <row r="438" ht="15" customHeight="1">
      <c r="A438" t="inlineStr">
        <is>
          <t>A 53587-2024</t>
        </is>
      </c>
      <c r="B438" s="1" t="n">
        <v>45614.66953703704</v>
      </c>
      <c r="C438" s="1" t="n">
        <v>46094</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32477-2025</t>
        </is>
      </c>
      <c r="B439" s="1" t="n">
        <v>45838.43098379629</v>
      </c>
      <c r="C439" s="1" t="n">
        <v>46094</v>
      </c>
      <c r="D439" t="inlineStr">
        <is>
          <t>UPPSALA LÄN</t>
        </is>
      </c>
      <c r="E439" t="inlineStr">
        <is>
          <t>ENKÖPING</t>
        </is>
      </c>
      <c r="G439" t="n">
        <v>2.7</v>
      </c>
      <c r="H439" t="n">
        <v>0</v>
      </c>
      <c r="I439" t="n">
        <v>0</v>
      </c>
      <c r="J439" t="n">
        <v>0</v>
      </c>
      <c r="K439" t="n">
        <v>0</v>
      </c>
      <c r="L439" t="n">
        <v>0</v>
      </c>
      <c r="M439" t="n">
        <v>0</v>
      </c>
      <c r="N439" t="n">
        <v>0</v>
      </c>
      <c r="O439" t="n">
        <v>0</v>
      </c>
      <c r="P439" t="n">
        <v>0</v>
      </c>
      <c r="Q439" t="n">
        <v>0</v>
      </c>
      <c r="R439" s="2" t="inlineStr"/>
    </row>
    <row r="440" ht="15" customHeight="1">
      <c r="A440" t="inlineStr">
        <is>
          <t>A 11503-2024</t>
        </is>
      </c>
      <c r="B440" s="1" t="n">
        <v>45372.68020833333</v>
      </c>
      <c r="C440" s="1" t="n">
        <v>46094</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39115-2024</t>
        </is>
      </c>
      <c r="B441" s="1" t="n">
        <v>45548</v>
      </c>
      <c r="C441" s="1" t="n">
        <v>46094</v>
      </c>
      <c r="D441" t="inlineStr">
        <is>
          <t>UPPSALA LÄN</t>
        </is>
      </c>
      <c r="E441" t="inlineStr">
        <is>
          <t>ENKÖPING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25334-2023</t>
        </is>
      </c>
      <c r="B442" s="1" t="n">
        <v>45083</v>
      </c>
      <c r="C442" s="1" t="n">
        <v>46094</v>
      </c>
      <c r="D442" t="inlineStr">
        <is>
          <t>UPPSALA LÄN</t>
        </is>
      </c>
      <c r="E442" t="inlineStr">
        <is>
          <t>ENKÖPING</t>
        </is>
      </c>
      <c r="G442" t="n">
        <v>0.2</v>
      </c>
      <c r="H442" t="n">
        <v>0</v>
      </c>
      <c r="I442" t="n">
        <v>0</v>
      </c>
      <c r="J442" t="n">
        <v>0</v>
      </c>
      <c r="K442" t="n">
        <v>0</v>
      </c>
      <c r="L442" t="n">
        <v>0</v>
      </c>
      <c r="M442" t="n">
        <v>0</v>
      </c>
      <c r="N442" t="n">
        <v>0</v>
      </c>
      <c r="O442" t="n">
        <v>0</v>
      </c>
      <c r="P442" t="n">
        <v>0</v>
      </c>
      <c r="Q442" t="n">
        <v>0</v>
      </c>
      <c r="R442" s="2" t="inlineStr"/>
    </row>
    <row r="443" ht="15" customHeight="1">
      <c r="A443" t="inlineStr">
        <is>
          <t>A 56837-2024</t>
        </is>
      </c>
      <c r="B443" s="1" t="n">
        <v>45628</v>
      </c>
      <c r="C443" s="1" t="n">
        <v>46094</v>
      </c>
      <c r="D443" t="inlineStr">
        <is>
          <t>UPPSALA LÄN</t>
        </is>
      </c>
      <c r="E443" t="inlineStr">
        <is>
          <t>ENKÖPING</t>
        </is>
      </c>
      <c r="G443" t="n">
        <v>2.2</v>
      </c>
      <c r="H443" t="n">
        <v>0</v>
      </c>
      <c r="I443" t="n">
        <v>0</v>
      </c>
      <c r="J443" t="n">
        <v>0</v>
      </c>
      <c r="K443" t="n">
        <v>0</v>
      </c>
      <c r="L443" t="n">
        <v>0</v>
      </c>
      <c r="M443" t="n">
        <v>0</v>
      </c>
      <c r="N443" t="n">
        <v>0</v>
      </c>
      <c r="O443" t="n">
        <v>0</v>
      </c>
      <c r="P443" t="n">
        <v>0</v>
      </c>
      <c r="Q443" t="n">
        <v>0</v>
      </c>
      <c r="R443" s="2" t="inlineStr"/>
    </row>
    <row r="444" ht="15" customHeight="1">
      <c r="A444" t="inlineStr">
        <is>
          <t>A 18821-2023</t>
        </is>
      </c>
      <c r="B444" s="1" t="n">
        <v>45044.3782175926</v>
      </c>
      <c r="C444" s="1" t="n">
        <v>46094</v>
      </c>
      <c r="D444" t="inlineStr">
        <is>
          <t>UPPSALA LÄN</t>
        </is>
      </c>
      <c r="E444" t="inlineStr">
        <is>
          <t>ENKÖPING</t>
        </is>
      </c>
      <c r="G444" t="n">
        <v>6</v>
      </c>
      <c r="H444" t="n">
        <v>0</v>
      </c>
      <c r="I444" t="n">
        <v>0</v>
      </c>
      <c r="J444" t="n">
        <v>0</v>
      </c>
      <c r="K444" t="n">
        <v>0</v>
      </c>
      <c r="L444" t="n">
        <v>0</v>
      </c>
      <c r="M444" t="n">
        <v>0</v>
      </c>
      <c r="N444" t="n">
        <v>0</v>
      </c>
      <c r="O444" t="n">
        <v>0</v>
      </c>
      <c r="P444" t="n">
        <v>0</v>
      </c>
      <c r="Q444" t="n">
        <v>0</v>
      </c>
      <c r="R444" s="2" t="inlineStr"/>
    </row>
    <row r="445" ht="15" customHeight="1">
      <c r="A445" t="inlineStr">
        <is>
          <t>A 45755-2025</t>
        </is>
      </c>
      <c r="B445" s="1" t="n">
        <v>45923.50240740741</v>
      </c>
      <c r="C445" s="1" t="n">
        <v>46094</v>
      </c>
      <c r="D445" t="inlineStr">
        <is>
          <t>UPPSALA LÄN</t>
        </is>
      </c>
      <c r="E445" t="inlineStr">
        <is>
          <t>ENKÖPING</t>
        </is>
      </c>
      <c r="G445" t="n">
        <v>2.2</v>
      </c>
      <c r="H445" t="n">
        <v>0</v>
      </c>
      <c r="I445" t="n">
        <v>0</v>
      </c>
      <c r="J445" t="n">
        <v>0</v>
      </c>
      <c r="K445" t="n">
        <v>0</v>
      </c>
      <c r="L445" t="n">
        <v>0</v>
      </c>
      <c r="M445" t="n">
        <v>0</v>
      </c>
      <c r="N445" t="n">
        <v>0</v>
      </c>
      <c r="O445" t="n">
        <v>0</v>
      </c>
      <c r="P445" t="n">
        <v>0</v>
      </c>
      <c r="Q445" t="n">
        <v>0</v>
      </c>
      <c r="R445" s="2" t="inlineStr"/>
    </row>
    <row r="446" ht="15" customHeight="1">
      <c r="A446" t="inlineStr">
        <is>
          <t>A 34989-2025</t>
        </is>
      </c>
      <c r="B446" s="1" t="n">
        <v>45849</v>
      </c>
      <c r="C446" s="1" t="n">
        <v>46094</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34990-2025</t>
        </is>
      </c>
      <c r="B447" s="1" t="n">
        <v>45849.78916666667</v>
      </c>
      <c r="C447" s="1" t="n">
        <v>46094</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46940-2025</t>
        </is>
      </c>
      <c r="B448" s="1" t="n">
        <v>45929.45483796296</v>
      </c>
      <c r="C448" s="1" t="n">
        <v>46094</v>
      </c>
      <c r="D448" t="inlineStr">
        <is>
          <t>UPPSALA LÄN</t>
        </is>
      </c>
      <c r="E448" t="inlineStr">
        <is>
          <t>ENKÖPING</t>
        </is>
      </c>
      <c r="G448" t="n">
        <v>5.3</v>
      </c>
      <c r="H448" t="n">
        <v>0</v>
      </c>
      <c r="I448" t="n">
        <v>0</v>
      </c>
      <c r="J448" t="n">
        <v>0</v>
      </c>
      <c r="K448" t="n">
        <v>0</v>
      </c>
      <c r="L448" t="n">
        <v>0</v>
      </c>
      <c r="M448" t="n">
        <v>0</v>
      </c>
      <c r="N448" t="n">
        <v>0</v>
      </c>
      <c r="O448" t="n">
        <v>0</v>
      </c>
      <c r="P448" t="n">
        <v>0</v>
      </c>
      <c r="Q448" t="n">
        <v>0</v>
      </c>
      <c r="R448" s="2" t="inlineStr"/>
    </row>
    <row r="449" ht="15" customHeight="1">
      <c r="A449" t="inlineStr">
        <is>
          <t>A 46590-2025</t>
        </is>
      </c>
      <c r="B449" s="1" t="n">
        <v>45926.39542824074</v>
      </c>
      <c r="C449" s="1" t="n">
        <v>46094</v>
      </c>
      <c r="D449" t="inlineStr">
        <is>
          <t>UPPSALA LÄN</t>
        </is>
      </c>
      <c r="E449" t="inlineStr">
        <is>
          <t>ENKÖPING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47441-2025</t>
        </is>
      </c>
      <c r="B450" s="1" t="n">
        <v>45930.63986111111</v>
      </c>
      <c r="C450" s="1" t="n">
        <v>46094</v>
      </c>
      <c r="D450" t="inlineStr">
        <is>
          <t>UPPSALA LÄN</t>
        </is>
      </c>
      <c r="E450" t="inlineStr">
        <is>
          <t>ENKÖPING</t>
        </is>
      </c>
      <c r="F450" t="inlineStr">
        <is>
          <t>Allmännings- och besparingsskogar</t>
        </is>
      </c>
      <c r="G450" t="n">
        <v>11.5</v>
      </c>
      <c r="H450" t="n">
        <v>0</v>
      </c>
      <c r="I450" t="n">
        <v>0</v>
      </c>
      <c r="J450" t="n">
        <v>0</v>
      </c>
      <c r="K450" t="n">
        <v>0</v>
      </c>
      <c r="L450" t="n">
        <v>0</v>
      </c>
      <c r="M450" t="n">
        <v>0</v>
      </c>
      <c r="N450" t="n">
        <v>0</v>
      </c>
      <c r="O450" t="n">
        <v>0</v>
      </c>
      <c r="P450" t="n">
        <v>0</v>
      </c>
      <c r="Q450" t="n">
        <v>0</v>
      </c>
      <c r="R450" s="2" t="inlineStr"/>
    </row>
    <row r="451" ht="15" customHeight="1">
      <c r="A451" t="inlineStr">
        <is>
          <t>A 39439-2025</t>
        </is>
      </c>
      <c r="B451" s="1" t="n">
        <v>45889</v>
      </c>
      <c r="C451" s="1" t="n">
        <v>46094</v>
      </c>
      <c r="D451" t="inlineStr">
        <is>
          <t>UPPSALA LÄN</t>
        </is>
      </c>
      <c r="E451" t="inlineStr">
        <is>
          <t>ENKÖPING</t>
        </is>
      </c>
      <c r="G451" t="n">
        <v>0.4</v>
      </c>
      <c r="H451" t="n">
        <v>0</v>
      </c>
      <c r="I451" t="n">
        <v>0</v>
      </c>
      <c r="J451" t="n">
        <v>0</v>
      </c>
      <c r="K451" t="n">
        <v>0</v>
      </c>
      <c r="L451" t="n">
        <v>0</v>
      </c>
      <c r="M451" t="n">
        <v>0</v>
      </c>
      <c r="N451" t="n">
        <v>0</v>
      </c>
      <c r="O451" t="n">
        <v>0</v>
      </c>
      <c r="P451" t="n">
        <v>0</v>
      </c>
      <c r="Q451" t="n">
        <v>0</v>
      </c>
      <c r="R451" s="2" t="inlineStr"/>
    </row>
    <row r="452" ht="15" customHeight="1">
      <c r="A452" t="inlineStr">
        <is>
          <t>A 48678-2025</t>
        </is>
      </c>
      <c r="B452" s="1" t="n">
        <v>45936.59168981481</v>
      </c>
      <c r="C452" s="1" t="n">
        <v>46094</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48423-2025</t>
        </is>
      </c>
      <c r="B453" s="1" t="n">
        <v>45934.68024305555</v>
      </c>
      <c r="C453" s="1" t="n">
        <v>46094</v>
      </c>
      <c r="D453" t="inlineStr">
        <is>
          <t>UPPSALA LÄN</t>
        </is>
      </c>
      <c r="E453" t="inlineStr">
        <is>
          <t>ENKÖPING</t>
        </is>
      </c>
      <c r="G453" t="n">
        <v>4.3</v>
      </c>
      <c r="H453" t="n">
        <v>0</v>
      </c>
      <c r="I453" t="n">
        <v>0</v>
      </c>
      <c r="J453" t="n">
        <v>0</v>
      </c>
      <c r="K453" t="n">
        <v>0</v>
      </c>
      <c r="L453" t="n">
        <v>0</v>
      </c>
      <c r="M453" t="n">
        <v>0</v>
      </c>
      <c r="N453" t="n">
        <v>0</v>
      </c>
      <c r="O453" t="n">
        <v>0</v>
      </c>
      <c r="P453" t="n">
        <v>0</v>
      </c>
      <c r="Q453" t="n">
        <v>0</v>
      </c>
      <c r="R453" s="2" t="inlineStr"/>
    </row>
    <row r="454" ht="15" customHeight="1">
      <c r="A454" t="inlineStr">
        <is>
          <t>A 48424-2025</t>
        </is>
      </c>
      <c r="B454" s="1" t="n">
        <v>45934.69131944444</v>
      </c>
      <c r="C454" s="1" t="n">
        <v>46094</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49073-2025</t>
        </is>
      </c>
      <c r="B455" s="1" t="n">
        <v>45937.65512731481</v>
      </c>
      <c r="C455" s="1" t="n">
        <v>46094</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43103-2025</t>
        </is>
      </c>
      <c r="B456" s="1" t="n">
        <v>45909</v>
      </c>
      <c r="C456" s="1" t="n">
        <v>46094</v>
      </c>
      <c r="D456" t="inlineStr">
        <is>
          <t>UPPSALA LÄN</t>
        </is>
      </c>
      <c r="E456" t="inlineStr">
        <is>
          <t>ENKÖPING</t>
        </is>
      </c>
      <c r="G456" t="n">
        <v>2.3</v>
      </c>
      <c r="H456" t="n">
        <v>0</v>
      </c>
      <c r="I456" t="n">
        <v>0</v>
      </c>
      <c r="J456" t="n">
        <v>0</v>
      </c>
      <c r="K456" t="n">
        <v>0</v>
      </c>
      <c r="L456" t="n">
        <v>0</v>
      </c>
      <c r="M456" t="n">
        <v>0</v>
      </c>
      <c r="N456" t="n">
        <v>0</v>
      </c>
      <c r="O456" t="n">
        <v>0</v>
      </c>
      <c r="P456" t="n">
        <v>0</v>
      </c>
      <c r="Q456" t="n">
        <v>0</v>
      </c>
      <c r="R456" s="2" t="inlineStr"/>
    </row>
    <row r="457" ht="15" customHeight="1">
      <c r="A457" t="inlineStr">
        <is>
          <t>A 49068-2025</t>
        </is>
      </c>
      <c r="B457" s="1" t="n">
        <v>45937.64766203704</v>
      </c>
      <c r="C457" s="1" t="n">
        <v>46094</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51162-2025</t>
        </is>
      </c>
      <c r="B458" s="1" t="n">
        <v>45947.58820601852</v>
      </c>
      <c r="C458" s="1" t="n">
        <v>46094</v>
      </c>
      <c r="D458" t="inlineStr">
        <is>
          <t>UPPSALA LÄN</t>
        </is>
      </c>
      <c r="E458" t="inlineStr">
        <is>
          <t>ENKÖPING</t>
        </is>
      </c>
      <c r="G458" t="n">
        <v>3.4</v>
      </c>
      <c r="H458" t="n">
        <v>0</v>
      </c>
      <c r="I458" t="n">
        <v>0</v>
      </c>
      <c r="J458" t="n">
        <v>0</v>
      </c>
      <c r="K458" t="n">
        <v>0</v>
      </c>
      <c r="L458" t="n">
        <v>0</v>
      </c>
      <c r="M458" t="n">
        <v>0</v>
      </c>
      <c r="N458" t="n">
        <v>0</v>
      </c>
      <c r="O458" t="n">
        <v>0</v>
      </c>
      <c r="P458" t="n">
        <v>0</v>
      </c>
      <c r="Q458" t="n">
        <v>0</v>
      </c>
      <c r="R458" s="2" t="inlineStr"/>
    </row>
    <row r="459" ht="15" customHeight="1">
      <c r="A459" t="inlineStr">
        <is>
          <t>A 51133-2025</t>
        </is>
      </c>
      <c r="B459" s="1" t="n">
        <v>45947.55598379629</v>
      </c>
      <c r="C459" s="1" t="n">
        <v>46094</v>
      </c>
      <c r="D459" t="inlineStr">
        <is>
          <t>UPPSALA LÄN</t>
        </is>
      </c>
      <c r="E459" t="inlineStr">
        <is>
          <t>ENKÖPING</t>
        </is>
      </c>
      <c r="G459" t="n">
        <v>2.4</v>
      </c>
      <c r="H459" t="n">
        <v>0</v>
      </c>
      <c r="I459" t="n">
        <v>0</v>
      </c>
      <c r="J459" t="n">
        <v>0</v>
      </c>
      <c r="K459" t="n">
        <v>0</v>
      </c>
      <c r="L459" t="n">
        <v>0</v>
      </c>
      <c r="M459" t="n">
        <v>0</v>
      </c>
      <c r="N459" t="n">
        <v>0</v>
      </c>
      <c r="O459" t="n">
        <v>0</v>
      </c>
      <c r="P459" t="n">
        <v>0</v>
      </c>
      <c r="Q459" t="n">
        <v>0</v>
      </c>
      <c r="R459" s="2" t="inlineStr"/>
    </row>
    <row r="460" ht="15" customHeight="1">
      <c r="A460" t="inlineStr">
        <is>
          <t>A 26017-2025</t>
        </is>
      </c>
      <c r="B460" s="1" t="n">
        <v>45804</v>
      </c>
      <c r="C460" s="1" t="n">
        <v>46094</v>
      </c>
      <c r="D460" t="inlineStr">
        <is>
          <t>UPPSALA LÄN</t>
        </is>
      </c>
      <c r="E460" t="inlineStr">
        <is>
          <t>ENKÖPING</t>
        </is>
      </c>
      <c r="G460" t="n">
        <v>0.4</v>
      </c>
      <c r="H460" t="n">
        <v>0</v>
      </c>
      <c r="I460" t="n">
        <v>0</v>
      </c>
      <c r="J460" t="n">
        <v>0</v>
      </c>
      <c r="K460" t="n">
        <v>0</v>
      </c>
      <c r="L460" t="n">
        <v>0</v>
      </c>
      <c r="M460" t="n">
        <v>0</v>
      </c>
      <c r="N460" t="n">
        <v>0</v>
      </c>
      <c r="O460" t="n">
        <v>0</v>
      </c>
      <c r="P460" t="n">
        <v>0</v>
      </c>
      <c r="Q460" t="n">
        <v>0</v>
      </c>
      <c r="R460" s="2" t="inlineStr"/>
    </row>
    <row r="461" ht="15" customHeight="1">
      <c r="A461" t="inlineStr">
        <is>
          <t>A 26011-2025</t>
        </is>
      </c>
      <c r="B461" s="1" t="n">
        <v>45804.67412037037</v>
      </c>
      <c r="C461" s="1" t="n">
        <v>46094</v>
      </c>
      <c r="D461" t="inlineStr">
        <is>
          <t>UPPSALA LÄN</t>
        </is>
      </c>
      <c r="E461" t="inlineStr">
        <is>
          <t>ENKÖPING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2850-2025</t>
        </is>
      </c>
      <c r="B462" s="1" t="n">
        <v>45677</v>
      </c>
      <c r="C462" s="1" t="n">
        <v>46094</v>
      </c>
      <c r="D462" t="inlineStr">
        <is>
          <t>UPPSALA LÄN</t>
        </is>
      </c>
      <c r="E462" t="inlineStr">
        <is>
          <t>ENKÖPING</t>
        </is>
      </c>
      <c r="G462" t="n">
        <v>0.3</v>
      </c>
      <c r="H462" t="n">
        <v>0</v>
      </c>
      <c r="I462" t="n">
        <v>0</v>
      </c>
      <c r="J462" t="n">
        <v>0</v>
      </c>
      <c r="K462" t="n">
        <v>0</v>
      </c>
      <c r="L462" t="n">
        <v>0</v>
      </c>
      <c r="M462" t="n">
        <v>0</v>
      </c>
      <c r="N462" t="n">
        <v>0</v>
      </c>
      <c r="O462" t="n">
        <v>0</v>
      </c>
      <c r="P462" t="n">
        <v>0</v>
      </c>
      <c r="Q462" t="n">
        <v>0</v>
      </c>
      <c r="R462" s="2" t="inlineStr"/>
    </row>
    <row r="463" ht="15" customHeight="1">
      <c r="A463" t="inlineStr">
        <is>
          <t>A 54541-2025</t>
        </is>
      </c>
      <c r="B463" s="1" t="n">
        <v>45965.64733796296</v>
      </c>
      <c r="C463" s="1" t="n">
        <v>46094</v>
      </c>
      <c r="D463" t="inlineStr">
        <is>
          <t>UPPSALA LÄN</t>
        </is>
      </c>
      <c r="E463" t="inlineStr">
        <is>
          <t>ENKÖPING</t>
        </is>
      </c>
      <c r="G463" t="n">
        <v>3.1</v>
      </c>
      <c r="H463" t="n">
        <v>0</v>
      </c>
      <c r="I463" t="n">
        <v>0</v>
      </c>
      <c r="J463" t="n">
        <v>0</v>
      </c>
      <c r="K463" t="n">
        <v>0</v>
      </c>
      <c r="L463" t="n">
        <v>0</v>
      </c>
      <c r="M463" t="n">
        <v>0</v>
      </c>
      <c r="N463" t="n">
        <v>0</v>
      </c>
      <c r="O463" t="n">
        <v>0</v>
      </c>
      <c r="P463" t="n">
        <v>0</v>
      </c>
      <c r="Q463" t="n">
        <v>0</v>
      </c>
      <c r="R463" s="2" t="inlineStr"/>
    </row>
    <row r="464" ht="15" customHeight="1">
      <c r="A464" t="inlineStr">
        <is>
          <t>A 54263-2025</t>
        </is>
      </c>
      <c r="B464" s="1" t="n">
        <v>45964.66271990741</v>
      </c>
      <c r="C464" s="1" t="n">
        <v>46094</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54844-2025</t>
        </is>
      </c>
      <c r="B465" s="1" t="n">
        <v>45966.69570601852</v>
      </c>
      <c r="C465" s="1" t="n">
        <v>46094</v>
      </c>
      <c r="D465" t="inlineStr">
        <is>
          <t>UPPSALA LÄN</t>
        </is>
      </c>
      <c r="E465" t="inlineStr">
        <is>
          <t>ENKÖPING</t>
        </is>
      </c>
      <c r="G465" t="n">
        <v>5.5</v>
      </c>
      <c r="H465" t="n">
        <v>0</v>
      </c>
      <c r="I465" t="n">
        <v>0</v>
      </c>
      <c r="J465" t="n">
        <v>0</v>
      </c>
      <c r="K465" t="n">
        <v>0</v>
      </c>
      <c r="L465" t="n">
        <v>0</v>
      </c>
      <c r="M465" t="n">
        <v>0</v>
      </c>
      <c r="N465" t="n">
        <v>0</v>
      </c>
      <c r="O465" t="n">
        <v>0</v>
      </c>
      <c r="P465" t="n">
        <v>0</v>
      </c>
      <c r="Q465" t="n">
        <v>0</v>
      </c>
      <c r="R465" s="2" t="inlineStr"/>
    </row>
    <row r="466" ht="15" customHeight="1">
      <c r="A466" t="inlineStr">
        <is>
          <t>A 54758-2025</t>
        </is>
      </c>
      <c r="B466" s="1" t="n">
        <v>45966.59737268519</v>
      </c>
      <c r="C466" s="1" t="n">
        <v>46094</v>
      </c>
      <c r="D466" t="inlineStr">
        <is>
          <t>UPPSALA LÄN</t>
        </is>
      </c>
      <c r="E466" t="inlineStr">
        <is>
          <t>ENKÖPING</t>
        </is>
      </c>
      <c r="G466" t="n">
        <v>3.3</v>
      </c>
      <c r="H466" t="n">
        <v>0</v>
      </c>
      <c r="I466" t="n">
        <v>0</v>
      </c>
      <c r="J466" t="n">
        <v>0</v>
      </c>
      <c r="K466" t="n">
        <v>0</v>
      </c>
      <c r="L466" t="n">
        <v>0</v>
      </c>
      <c r="M466" t="n">
        <v>0</v>
      </c>
      <c r="N466" t="n">
        <v>0</v>
      </c>
      <c r="O466" t="n">
        <v>0</v>
      </c>
      <c r="P466" t="n">
        <v>0</v>
      </c>
      <c r="Q466" t="n">
        <v>0</v>
      </c>
      <c r="R466" s="2" t="inlineStr"/>
    </row>
    <row r="467" ht="15" customHeight="1">
      <c r="A467" t="inlineStr">
        <is>
          <t>A 55567-2025</t>
        </is>
      </c>
      <c r="B467" s="1" t="n">
        <v>45971.65589120371</v>
      </c>
      <c r="C467" s="1" t="n">
        <v>46094</v>
      </c>
      <c r="D467" t="inlineStr">
        <is>
          <t>UPPSALA LÄN</t>
        </is>
      </c>
      <c r="E467" t="inlineStr">
        <is>
          <t>ENKÖPING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56625-2025</t>
        </is>
      </c>
      <c r="B468" s="1" t="n">
        <v>45975.60608796297</v>
      </c>
      <c r="C468" s="1" t="n">
        <v>46094</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57294-2025</t>
        </is>
      </c>
      <c r="B469" s="1" t="n">
        <v>45979</v>
      </c>
      <c r="C469" s="1" t="n">
        <v>46094</v>
      </c>
      <c r="D469" t="inlineStr">
        <is>
          <t>UPPSALA LÄN</t>
        </is>
      </c>
      <c r="E469" t="inlineStr">
        <is>
          <t>ENKÖPING</t>
        </is>
      </c>
      <c r="G469" t="n">
        <v>6.2</v>
      </c>
      <c r="H469" t="n">
        <v>0</v>
      </c>
      <c r="I469" t="n">
        <v>0</v>
      </c>
      <c r="J469" t="n">
        <v>0</v>
      </c>
      <c r="K469" t="n">
        <v>0</v>
      </c>
      <c r="L469" t="n">
        <v>0</v>
      </c>
      <c r="M469" t="n">
        <v>0</v>
      </c>
      <c r="N469" t="n">
        <v>0</v>
      </c>
      <c r="O469" t="n">
        <v>0</v>
      </c>
      <c r="P469" t="n">
        <v>0</v>
      </c>
      <c r="Q469" t="n">
        <v>0</v>
      </c>
      <c r="R469" s="2" t="inlineStr"/>
    </row>
    <row r="470" ht="15" customHeight="1">
      <c r="A470" t="inlineStr">
        <is>
          <t>A 58025-2025</t>
        </is>
      </c>
      <c r="B470" s="1" t="n">
        <v>45982</v>
      </c>
      <c r="C470" s="1" t="n">
        <v>46094</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57188-2025</t>
        </is>
      </c>
      <c r="B471" s="1" t="n">
        <v>45979</v>
      </c>
      <c r="C471" s="1" t="n">
        <v>46094</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59668-2025</t>
        </is>
      </c>
      <c r="B472" s="1" t="n">
        <v>45992.45567129629</v>
      </c>
      <c r="C472" s="1" t="n">
        <v>46094</v>
      </c>
      <c r="D472" t="inlineStr">
        <is>
          <t>UPPSALA LÄN</t>
        </is>
      </c>
      <c r="E472" t="inlineStr">
        <is>
          <t>ENKÖPING</t>
        </is>
      </c>
      <c r="G472" t="n">
        <v>3.3</v>
      </c>
      <c r="H472" t="n">
        <v>0</v>
      </c>
      <c r="I472" t="n">
        <v>0</v>
      </c>
      <c r="J472" t="n">
        <v>0</v>
      </c>
      <c r="K472" t="n">
        <v>0</v>
      </c>
      <c r="L472" t="n">
        <v>0</v>
      </c>
      <c r="M472" t="n">
        <v>0</v>
      </c>
      <c r="N472" t="n">
        <v>0</v>
      </c>
      <c r="O472" t="n">
        <v>0</v>
      </c>
      <c r="P472" t="n">
        <v>0</v>
      </c>
      <c r="Q472" t="n">
        <v>0</v>
      </c>
      <c r="R472" s="2" t="inlineStr"/>
    </row>
    <row r="473" ht="15" customHeight="1">
      <c r="A473" t="inlineStr">
        <is>
          <t>A 59964-2025</t>
        </is>
      </c>
      <c r="B473" s="1" t="n">
        <v>45993.48043981481</v>
      </c>
      <c r="C473" s="1" t="n">
        <v>46094</v>
      </c>
      <c r="D473" t="inlineStr">
        <is>
          <t>UPPSALA LÄN</t>
        </is>
      </c>
      <c r="E473" t="inlineStr">
        <is>
          <t>ENKÖPING</t>
        </is>
      </c>
      <c r="G473" t="n">
        <v>2.1</v>
      </c>
      <c r="H473" t="n">
        <v>0</v>
      </c>
      <c r="I473" t="n">
        <v>0</v>
      </c>
      <c r="J473" t="n">
        <v>0</v>
      </c>
      <c r="K473" t="n">
        <v>0</v>
      </c>
      <c r="L473" t="n">
        <v>0</v>
      </c>
      <c r="M473" t="n">
        <v>0</v>
      </c>
      <c r="N473" t="n">
        <v>0</v>
      </c>
      <c r="O473" t="n">
        <v>0</v>
      </c>
      <c r="P473" t="n">
        <v>0</v>
      </c>
      <c r="Q473" t="n">
        <v>0</v>
      </c>
      <c r="R473" s="2" t="inlineStr"/>
    </row>
    <row r="474" ht="15" customHeight="1">
      <c r="A474" t="inlineStr">
        <is>
          <t>A 60340-2025</t>
        </is>
      </c>
      <c r="B474" s="1" t="n">
        <v>45994.83415509259</v>
      </c>
      <c r="C474" s="1" t="n">
        <v>46094</v>
      </c>
      <c r="D474" t="inlineStr">
        <is>
          <t>UPPSALA LÄN</t>
        </is>
      </c>
      <c r="E474" t="inlineStr">
        <is>
          <t>ENKÖPING</t>
        </is>
      </c>
      <c r="G474" t="n">
        <v>5.6</v>
      </c>
      <c r="H474" t="n">
        <v>0</v>
      </c>
      <c r="I474" t="n">
        <v>0</v>
      </c>
      <c r="J474" t="n">
        <v>0</v>
      </c>
      <c r="K474" t="n">
        <v>0</v>
      </c>
      <c r="L474" t="n">
        <v>0</v>
      </c>
      <c r="M474" t="n">
        <v>0</v>
      </c>
      <c r="N474" t="n">
        <v>0</v>
      </c>
      <c r="O474" t="n">
        <v>0</v>
      </c>
      <c r="P474" t="n">
        <v>0</v>
      </c>
      <c r="Q474" t="n">
        <v>0</v>
      </c>
      <c r="R474" s="2" t="inlineStr"/>
    </row>
    <row r="475" ht="15" customHeight="1">
      <c r="A475" t="inlineStr">
        <is>
          <t>A 60174-2025</t>
        </is>
      </c>
      <c r="B475" s="1" t="n">
        <v>45994.45039351852</v>
      </c>
      <c r="C475" s="1" t="n">
        <v>46094</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60175-2025</t>
        </is>
      </c>
      <c r="B476" s="1" t="n">
        <v>45994.45378472222</v>
      </c>
      <c r="C476" s="1" t="n">
        <v>46094</v>
      </c>
      <c r="D476" t="inlineStr">
        <is>
          <t>UPPSALA LÄN</t>
        </is>
      </c>
      <c r="E476" t="inlineStr">
        <is>
          <t>ENKÖPING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60947-2025</t>
        </is>
      </c>
      <c r="B477" s="1" t="n">
        <v>45999</v>
      </c>
      <c r="C477" s="1" t="n">
        <v>46094</v>
      </c>
      <c r="D477" t="inlineStr">
        <is>
          <t>UPPSALA LÄN</t>
        </is>
      </c>
      <c r="E477" t="inlineStr">
        <is>
          <t>ENKÖPING</t>
        </is>
      </c>
      <c r="G477" t="n">
        <v>4</v>
      </c>
      <c r="H477" t="n">
        <v>0</v>
      </c>
      <c r="I477" t="n">
        <v>0</v>
      </c>
      <c r="J477" t="n">
        <v>0</v>
      </c>
      <c r="K477" t="n">
        <v>0</v>
      </c>
      <c r="L477" t="n">
        <v>0</v>
      </c>
      <c r="M477" t="n">
        <v>0</v>
      </c>
      <c r="N477" t="n">
        <v>0</v>
      </c>
      <c r="O477" t="n">
        <v>0</v>
      </c>
      <c r="P477" t="n">
        <v>0</v>
      </c>
      <c r="Q477" t="n">
        <v>0</v>
      </c>
      <c r="R477" s="2" t="inlineStr"/>
    </row>
    <row r="478" ht="15" customHeight="1">
      <c r="A478" t="inlineStr">
        <is>
          <t>A 60934-2025</t>
        </is>
      </c>
      <c r="B478" s="1" t="n">
        <v>45999</v>
      </c>
      <c r="C478" s="1" t="n">
        <v>46094</v>
      </c>
      <c r="D478" t="inlineStr">
        <is>
          <t>UPPSALA LÄN</t>
        </is>
      </c>
      <c r="E478" t="inlineStr">
        <is>
          <t>ENKÖPING</t>
        </is>
      </c>
      <c r="G478" t="n">
        <v>2.5</v>
      </c>
      <c r="H478" t="n">
        <v>0</v>
      </c>
      <c r="I478" t="n">
        <v>0</v>
      </c>
      <c r="J478" t="n">
        <v>0</v>
      </c>
      <c r="K478" t="n">
        <v>0</v>
      </c>
      <c r="L478" t="n">
        <v>0</v>
      </c>
      <c r="M478" t="n">
        <v>0</v>
      </c>
      <c r="N478" t="n">
        <v>0</v>
      </c>
      <c r="O478" t="n">
        <v>0</v>
      </c>
      <c r="P478" t="n">
        <v>0</v>
      </c>
      <c r="Q478" t="n">
        <v>0</v>
      </c>
      <c r="R478" s="2" t="inlineStr"/>
    </row>
    <row r="479" ht="15" customHeight="1">
      <c r="A479" t="inlineStr">
        <is>
          <t>A 61437-2025</t>
        </is>
      </c>
      <c r="B479" s="1" t="n">
        <v>46001.5659375</v>
      </c>
      <c r="C479" s="1" t="n">
        <v>46094</v>
      </c>
      <c r="D479" t="inlineStr">
        <is>
          <t>UPPSALA LÄN</t>
        </is>
      </c>
      <c r="E479" t="inlineStr">
        <is>
          <t>ENKÖPING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29477-2025</t>
        </is>
      </c>
      <c r="B480" s="1" t="n">
        <v>45824.71537037037</v>
      </c>
      <c r="C480" s="1" t="n">
        <v>46094</v>
      </c>
      <c r="D480" t="inlineStr">
        <is>
          <t>UPPSALA LÄN</t>
        </is>
      </c>
      <c r="E480" t="inlineStr">
        <is>
          <t>ENKÖPING</t>
        </is>
      </c>
      <c r="G480" t="n">
        <v>13.4</v>
      </c>
      <c r="H480" t="n">
        <v>0</v>
      </c>
      <c r="I480" t="n">
        <v>0</v>
      </c>
      <c r="J480" t="n">
        <v>0</v>
      </c>
      <c r="K480" t="n">
        <v>0</v>
      </c>
      <c r="L480" t="n">
        <v>0</v>
      </c>
      <c r="M480" t="n">
        <v>0</v>
      </c>
      <c r="N480" t="n">
        <v>0</v>
      </c>
      <c r="O480" t="n">
        <v>0</v>
      </c>
      <c r="P480" t="n">
        <v>0</v>
      </c>
      <c r="Q480" t="n">
        <v>0</v>
      </c>
      <c r="R480" s="2" t="inlineStr"/>
    </row>
    <row r="481" ht="15" customHeight="1">
      <c r="A481" t="inlineStr">
        <is>
          <t>A 61778-2025</t>
        </is>
      </c>
      <c r="B481" s="1" t="n">
        <v>46002.66555555556</v>
      </c>
      <c r="C481" s="1" t="n">
        <v>46094</v>
      </c>
      <c r="D481" t="inlineStr">
        <is>
          <t>UPPSALA LÄN</t>
        </is>
      </c>
      <c r="E481" t="inlineStr">
        <is>
          <t>ENKÖPING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61811-2025</t>
        </is>
      </c>
      <c r="B482" s="1" t="n">
        <v>46002.90059027778</v>
      </c>
      <c r="C482" s="1" t="n">
        <v>46094</v>
      </c>
      <c r="D482" t="inlineStr">
        <is>
          <t>UPPSALA LÄN</t>
        </is>
      </c>
      <c r="E482" t="inlineStr">
        <is>
          <t>ENKÖPING</t>
        </is>
      </c>
      <c r="F482" t="inlineStr">
        <is>
          <t>Allmännings- och besparingsskogar</t>
        </is>
      </c>
      <c r="G482" t="n">
        <v>4.7</v>
      </c>
      <c r="H482" t="n">
        <v>0</v>
      </c>
      <c r="I482" t="n">
        <v>0</v>
      </c>
      <c r="J482" t="n">
        <v>0</v>
      </c>
      <c r="K482" t="n">
        <v>0</v>
      </c>
      <c r="L482" t="n">
        <v>0</v>
      </c>
      <c r="M482" t="n">
        <v>0</v>
      </c>
      <c r="N482" t="n">
        <v>0</v>
      </c>
      <c r="O482" t="n">
        <v>0</v>
      </c>
      <c r="P482" t="n">
        <v>0</v>
      </c>
      <c r="Q482" t="n">
        <v>0</v>
      </c>
      <c r="R482" s="2" t="inlineStr"/>
    </row>
    <row r="483" ht="15" customHeight="1">
      <c r="A483" t="inlineStr">
        <is>
          <t>A 38941-2025</t>
        </is>
      </c>
      <c r="B483" s="1" t="n">
        <v>45887</v>
      </c>
      <c r="C483" s="1" t="n">
        <v>46094</v>
      </c>
      <c r="D483" t="inlineStr">
        <is>
          <t>UPPSALA LÄN</t>
        </is>
      </c>
      <c r="E483" t="inlineStr">
        <is>
          <t>ENKÖPING</t>
        </is>
      </c>
      <c r="F483" t="inlineStr">
        <is>
          <t>Övriga statliga verk och myndigheter</t>
        </is>
      </c>
      <c r="G483" t="n">
        <v>0.6</v>
      </c>
      <c r="H483" t="n">
        <v>0</v>
      </c>
      <c r="I483" t="n">
        <v>0</v>
      </c>
      <c r="J483" t="n">
        <v>0</v>
      </c>
      <c r="K483" t="n">
        <v>0</v>
      </c>
      <c r="L483" t="n">
        <v>0</v>
      </c>
      <c r="M483" t="n">
        <v>0</v>
      </c>
      <c r="N483" t="n">
        <v>0</v>
      </c>
      <c r="O483" t="n">
        <v>0</v>
      </c>
      <c r="P483" t="n">
        <v>0</v>
      </c>
      <c r="Q483" t="n">
        <v>0</v>
      </c>
      <c r="R483" s="2" t="inlineStr"/>
    </row>
    <row r="484" ht="15" customHeight="1">
      <c r="A484" t="inlineStr">
        <is>
          <t>A 61889-2025</t>
        </is>
      </c>
      <c r="B484" s="1" t="n">
        <v>46003.44765046296</v>
      </c>
      <c r="C484" s="1" t="n">
        <v>46094</v>
      </c>
      <c r="D484" t="inlineStr">
        <is>
          <t>UPPSALA LÄN</t>
        </is>
      </c>
      <c r="E484" t="inlineStr">
        <is>
          <t>ENKÖPING</t>
        </is>
      </c>
      <c r="G484" t="n">
        <v>2.3</v>
      </c>
      <c r="H484" t="n">
        <v>0</v>
      </c>
      <c r="I484" t="n">
        <v>0</v>
      </c>
      <c r="J484" t="n">
        <v>0</v>
      </c>
      <c r="K484" t="n">
        <v>0</v>
      </c>
      <c r="L484" t="n">
        <v>0</v>
      </c>
      <c r="M484" t="n">
        <v>0</v>
      </c>
      <c r="N484" t="n">
        <v>0</v>
      </c>
      <c r="O484" t="n">
        <v>0</v>
      </c>
      <c r="P484" t="n">
        <v>0</v>
      </c>
      <c r="Q484" t="n">
        <v>0</v>
      </c>
      <c r="R484" s="2" t="inlineStr"/>
    </row>
    <row r="485" ht="15" customHeight="1">
      <c r="A485" t="inlineStr">
        <is>
          <t>A 62599-2025</t>
        </is>
      </c>
      <c r="B485" s="1" t="n">
        <v>46007.91961805556</v>
      </c>
      <c r="C485" s="1" t="n">
        <v>46094</v>
      </c>
      <c r="D485" t="inlineStr">
        <is>
          <t>UPPSALA LÄN</t>
        </is>
      </c>
      <c r="E485" t="inlineStr">
        <is>
          <t>ENKÖPING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62772-2025</t>
        </is>
      </c>
      <c r="B486" s="1" t="n">
        <v>46008.60365740741</v>
      </c>
      <c r="C486" s="1" t="n">
        <v>46094</v>
      </c>
      <c r="D486" t="inlineStr">
        <is>
          <t>UPPSALA LÄN</t>
        </is>
      </c>
      <c r="E486" t="inlineStr">
        <is>
          <t>ENKÖPING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63128-2025</t>
        </is>
      </c>
      <c r="B487" s="1" t="n">
        <v>46009</v>
      </c>
      <c r="C487" s="1" t="n">
        <v>46094</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62600-2025</t>
        </is>
      </c>
      <c r="B488" s="1" t="n">
        <v>46007.92175925926</v>
      </c>
      <c r="C488" s="1" t="n">
        <v>46094</v>
      </c>
      <c r="D488" t="inlineStr">
        <is>
          <t>UPPSALA LÄN</t>
        </is>
      </c>
      <c r="E488" t="inlineStr">
        <is>
          <t>ENKÖPING</t>
        </is>
      </c>
      <c r="G488" t="n">
        <v>2</v>
      </c>
      <c r="H488" t="n">
        <v>0</v>
      </c>
      <c r="I488" t="n">
        <v>0</v>
      </c>
      <c r="J488" t="n">
        <v>0</v>
      </c>
      <c r="K488" t="n">
        <v>0</v>
      </c>
      <c r="L488" t="n">
        <v>0</v>
      </c>
      <c r="M488" t="n">
        <v>0</v>
      </c>
      <c r="N488" t="n">
        <v>0</v>
      </c>
      <c r="O488" t="n">
        <v>0</v>
      </c>
      <c r="P488" t="n">
        <v>0</v>
      </c>
      <c r="Q488" t="n">
        <v>0</v>
      </c>
      <c r="R488" s="2" t="inlineStr"/>
    </row>
    <row r="489" ht="15" customHeight="1">
      <c r="A489" t="inlineStr">
        <is>
          <t>A 62602-2025</t>
        </is>
      </c>
      <c r="B489" s="1" t="n">
        <v>46007.92581018519</v>
      </c>
      <c r="C489" s="1" t="n">
        <v>46094</v>
      </c>
      <c r="D489" t="inlineStr">
        <is>
          <t>UPPSALA LÄN</t>
        </is>
      </c>
      <c r="E489" t="inlineStr">
        <is>
          <t>ENKÖPING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62601-2025</t>
        </is>
      </c>
      <c r="B490" s="1" t="n">
        <v>46007.92395833333</v>
      </c>
      <c r="C490" s="1" t="n">
        <v>46094</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6047-2026</t>
        </is>
      </c>
      <c r="B491" s="1" t="n">
        <v>46052.62738425926</v>
      </c>
      <c r="C491" s="1" t="n">
        <v>46094</v>
      </c>
      <c r="D491" t="inlineStr">
        <is>
          <t>UPPSALA LÄN</t>
        </is>
      </c>
      <c r="E491" t="inlineStr">
        <is>
          <t>ENKÖPING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6031-2026</t>
        </is>
      </c>
      <c r="B492" s="1" t="n">
        <v>46052.61201388889</v>
      </c>
      <c r="C492" s="1" t="n">
        <v>46094</v>
      </c>
      <c r="D492" t="inlineStr">
        <is>
          <t>UPPSALA LÄN</t>
        </is>
      </c>
      <c r="E492" t="inlineStr">
        <is>
          <t>ENKÖPING</t>
        </is>
      </c>
      <c r="G492" t="n">
        <v>4.1</v>
      </c>
      <c r="H492" t="n">
        <v>0</v>
      </c>
      <c r="I492" t="n">
        <v>0</v>
      </c>
      <c r="J492" t="n">
        <v>0</v>
      </c>
      <c r="K492" t="n">
        <v>0</v>
      </c>
      <c r="L492" t="n">
        <v>0</v>
      </c>
      <c r="M492" t="n">
        <v>0</v>
      </c>
      <c r="N492" t="n">
        <v>0</v>
      </c>
      <c r="O492" t="n">
        <v>0</v>
      </c>
      <c r="P492" t="n">
        <v>0</v>
      </c>
      <c r="Q492" t="n">
        <v>0</v>
      </c>
      <c r="R492" s="2" t="inlineStr"/>
    </row>
    <row r="493" ht="15" customHeight="1">
      <c r="A493" t="inlineStr">
        <is>
          <t>A 6049-2026</t>
        </is>
      </c>
      <c r="B493" s="1" t="n">
        <v>46052.63005787037</v>
      </c>
      <c r="C493" s="1" t="n">
        <v>46094</v>
      </c>
      <c r="D493" t="inlineStr">
        <is>
          <t>UPPSALA LÄN</t>
        </is>
      </c>
      <c r="E493" t="inlineStr">
        <is>
          <t>ENKÖPING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5953-2026</t>
        </is>
      </c>
      <c r="B494" s="1" t="n">
        <v>46052.49119212963</v>
      </c>
      <c r="C494" s="1" t="n">
        <v>46094</v>
      </c>
      <c r="D494" t="inlineStr">
        <is>
          <t>UPPSALA LÄN</t>
        </is>
      </c>
      <c r="E494" t="inlineStr">
        <is>
          <t>ENKÖPING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6041-2026</t>
        </is>
      </c>
      <c r="B495" s="1" t="n">
        <v>46052.62184027778</v>
      </c>
      <c r="C495" s="1" t="n">
        <v>46094</v>
      </c>
      <c r="D495" t="inlineStr">
        <is>
          <t>UPPSALA LÄN</t>
        </is>
      </c>
      <c r="E495" t="inlineStr">
        <is>
          <t>ENKÖPING</t>
        </is>
      </c>
      <c r="G495" t="n">
        <v>4</v>
      </c>
      <c r="H495" t="n">
        <v>0</v>
      </c>
      <c r="I495" t="n">
        <v>0</v>
      </c>
      <c r="J495" t="n">
        <v>0</v>
      </c>
      <c r="K495" t="n">
        <v>0</v>
      </c>
      <c r="L495" t="n">
        <v>0</v>
      </c>
      <c r="M495" t="n">
        <v>0</v>
      </c>
      <c r="N495" t="n">
        <v>0</v>
      </c>
      <c r="O495" t="n">
        <v>0</v>
      </c>
      <c r="P495" t="n">
        <v>0</v>
      </c>
      <c r="Q495" t="n">
        <v>0</v>
      </c>
      <c r="R495" s="2" t="inlineStr"/>
    </row>
    <row r="496" ht="15" customHeight="1">
      <c r="A496" t="inlineStr">
        <is>
          <t>A 6044-2026</t>
        </is>
      </c>
      <c r="B496" s="1" t="n">
        <v>46052.62506944445</v>
      </c>
      <c r="C496" s="1" t="n">
        <v>46094</v>
      </c>
      <c r="D496" t="inlineStr">
        <is>
          <t>UPPSALA LÄN</t>
        </is>
      </c>
      <c r="E496" t="inlineStr">
        <is>
          <t>ENKÖPING</t>
        </is>
      </c>
      <c r="G496" t="n">
        <v>1.3</v>
      </c>
      <c r="H496" t="n">
        <v>0</v>
      </c>
      <c r="I496" t="n">
        <v>0</v>
      </c>
      <c r="J496" t="n">
        <v>0</v>
      </c>
      <c r="K496" t="n">
        <v>0</v>
      </c>
      <c r="L496" t="n">
        <v>0</v>
      </c>
      <c r="M496" t="n">
        <v>0</v>
      </c>
      <c r="N496" t="n">
        <v>0</v>
      </c>
      <c r="O496" t="n">
        <v>0</v>
      </c>
      <c r="P496" t="n">
        <v>0</v>
      </c>
      <c r="Q496" t="n">
        <v>0</v>
      </c>
      <c r="R496" s="2" t="inlineStr"/>
    </row>
    <row r="497" ht="15" customHeight="1">
      <c r="A497" t="inlineStr">
        <is>
          <t>A 5948-2026</t>
        </is>
      </c>
      <c r="B497" s="1" t="n">
        <v>46052</v>
      </c>
      <c r="C497" s="1" t="n">
        <v>46094</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7008-2026</t>
        </is>
      </c>
      <c r="B498" s="1" t="n">
        <v>46057.63806712963</v>
      </c>
      <c r="C498" s="1" t="n">
        <v>46094</v>
      </c>
      <c r="D498" t="inlineStr">
        <is>
          <t>UPPSALA LÄN</t>
        </is>
      </c>
      <c r="E498" t="inlineStr">
        <is>
          <t>ENKÖPING</t>
        </is>
      </c>
      <c r="G498" t="n">
        <v>1</v>
      </c>
      <c r="H498" t="n">
        <v>0</v>
      </c>
      <c r="I498" t="n">
        <v>0</v>
      </c>
      <c r="J498" t="n">
        <v>0</v>
      </c>
      <c r="K498" t="n">
        <v>0</v>
      </c>
      <c r="L498" t="n">
        <v>0</v>
      </c>
      <c r="M498" t="n">
        <v>0</v>
      </c>
      <c r="N498" t="n">
        <v>0</v>
      </c>
      <c r="O498" t="n">
        <v>0</v>
      </c>
      <c r="P498" t="n">
        <v>0</v>
      </c>
      <c r="Q498" t="n">
        <v>0</v>
      </c>
      <c r="R498" s="2" t="inlineStr"/>
    </row>
    <row r="499" ht="15" customHeight="1">
      <c r="A499" t="inlineStr">
        <is>
          <t>A 7003-2026</t>
        </is>
      </c>
      <c r="B499" s="1" t="n">
        <v>46057.63243055555</v>
      </c>
      <c r="C499" s="1" t="n">
        <v>46094</v>
      </c>
      <c r="D499" t="inlineStr">
        <is>
          <t>UPPSALA LÄN</t>
        </is>
      </c>
      <c r="E499" t="inlineStr">
        <is>
          <t>ENKÖPING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7167-2026</t>
        </is>
      </c>
      <c r="B500" s="1" t="n">
        <v>46058.45677083333</v>
      </c>
      <c r="C500" s="1" t="n">
        <v>46094</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7168-2026</t>
        </is>
      </c>
      <c r="B501" s="1" t="n">
        <v>46058.45831018518</v>
      </c>
      <c r="C501" s="1" t="n">
        <v>46094</v>
      </c>
      <c r="D501" t="inlineStr">
        <is>
          <t>UPPSALA LÄN</t>
        </is>
      </c>
      <c r="E501" t="inlineStr">
        <is>
          <t>ENKÖPING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7175-2026</t>
        </is>
      </c>
      <c r="B502" s="1" t="n">
        <v>46058.46399305556</v>
      </c>
      <c r="C502" s="1" t="n">
        <v>46094</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7172-2026</t>
        </is>
      </c>
      <c r="B503" s="1" t="n">
        <v>46058.46113425926</v>
      </c>
      <c r="C503" s="1" t="n">
        <v>46094</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60848-2025</t>
        </is>
      </c>
      <c r="B504" s="1" t="n">
        <v>45999</v>
      </c>
      <c r="C504" s="1" t="n">
        <v>46094</v>
      </c>
      <c r="D504" t="inlineStr">
        <is>
          <t>UPPSALA LÄN</t>
        </is>
      </c>
      <c r="E504" t="inlineStr">
        <is>
          <t>ENKÖPING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8309-2026</t>
        </is>
      </c>
      <c r="B505" s="1" t="n">
        <v>46064.59081018518</v>
      </c>
      <c r="C505" s="1" t="n">
        <v>46094</v>
      </c>
      <c r="D505" t="inlineStr">
        <is>
          <t>UPPSALA LÄN</t>
        </is>
      </c>
      <c r="E505" t="inlineStr">
        <is>
          <t>ENKÖPING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192-2026</t>
        </is>
      </c>
      <c r="B506" s="1" t="n">
        <v>46025</v>
      </c>
      <c r="C506" s="1" t="n">
        <v>46094</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9469-2026</t>
        </is>
      </c>
      <c r="B507" s="1" t="n">
        <v>46071.51248842593</v>
      </c>
      <c r="C507" s="1" t="n">
        <v>46094</v>
      </c>
      <c r="D507" t="inlineStr">
        <is>
          <t>UPPSALA LÄN</t>
        </is>
      </c>
      <c r="E507" t="inlineStr">
        <is>
          <t>ENKÖPING</t>
        </is>
      </c>
      <c r="G507" t="n">
        <v>3</v>
      </c>
      <c r="H507" t="n">
        <v>0</v>
      </c>
      <c r="I507" t="n">
        <v>0</v>
      </c>
      <c r="J507" t="n">
        <v>0</v>
      </c>
      <c r="K507" t="n">
        <v>0</v>
      </c>
      <c r="L507" t="n">
        <v>0</v>
      </c>
      <c r="M507" t="n">
        <v>0</v>
      </c>
      <c r="N507" t="n">
        <v>0</v>
      </c>
      <c r="O507" t="n">
        <v>0</v>
      </c>
      <c r="P507" t="n">
        <v>0</v>
      </c>
      <c r="Q507" t="n">
        <v>0</v>
      </c>
      <c r="R507" s="2" t="inlineStr"/>
    </row>
    <row r="508" ht="15" customHeight="1">
      <c r="A508" t="inlineStr">
        <is>
          <t>A 9467-2026</t>
        </is>
      </c>
      <c r="B508" s="1" t="n">
        <v>46071.50694444445</v>
      </c>
      <c r="C508" s="1" t="n">
        <v>46094</v>
      </c>
      <c r="D508" t="inlineStr">
        <is>
          <t>UPPSALA LÄN</t>
        </is>
      </c>
      <c r="E508" t="inlineStr">
        <is>
          <t>ENKÖPING</t>
        </is>
      </c>
      <c r="G508" t="n">
        <v>5.9</v>
      </c>
      <c r="H508" t="n">
        <v>0</v>
      </c>
      <c r="I508" t="n">
        <v>0</v>
      </c>
      <c r="J508" t="n">
        <v>0</v>
      </c>
      <c r="K508" t="n">
        <v>0</v>
      </c>
      <c r="L508" t="n">
        <v>0</v>
      </c>
      <c r="M508" t="n">
        <v>0</v>
      </c>
      <c r="N508" t="n">
        <v>0</v>
      </c>
      <c r="O508" t="n">
        <v>0</v>
      </c>
      <c r="P508" t="n">
        <v>0</v>
      </c>
      <c r="Q508" t="n">
        <v>0</v>
      </c>
      <c r="R508" s="2" t="inlineStr"/>
    </row>
    <row r="509" ht="15" customHeight="1">
      <c r="A509" t="inlineStr">
        <is>
          <t>A 9148-2026</t>
        </is>
      </c>
      <c r="B509" s="1" t="n">
        <v>46070.30946759259</v>
      </c>
      <c r="C509" s="1" t="n">
        <v>46094</v>
      </c>
      <c r="D509" t="inlineStr">
        <is>
          <t>UPPSALA LÄN</t>
        </is>
      </c>
      <c r="E509" t="inlineStr">
        <is>
          <t>ENKÖPING</t>
        </is>
      </c>
      <c r="G509" t="n">
        <v>0.8</v>
      </c>
      <c r="H509" t="n">
        <v>0</v>
      </c>
      <c r="I509" t="n">
        <v>0</v>
      </c>
      <c r="J509" t="n">
        <v>0</v>
      </c>
      <c r="K509" t="n">
        <v>0</v>
      </c>
      <c r="L509" t="n">
        <v>0</v>
      </c>
      <c r="M509" t="n">
        <v>0</v>
      </c>
      <c r="N509" t="n">
        <v>0</v>
      </c>
      <c r="O509" t="n">
        <v>0</v>
      </c>
      <c r="P509" t="n">
        <v>0</v>
      </c>
      <c r="Q509" t="n">
        <v>0</v>
      </c>
      <c r="R509" s="2" t="inlineStr"/>
    </row>
    <row r="510" ht="15" customHeight="1">
      <c r="A510" t="inlineStr">
        <is>
          <t>A 9474-2026</t>
        </is>
      </c>
      <c r="B510" s="1" t="n">
        <v>46071.52324074074</v>
      </c>
      <c r="C510" s="1" t="n">
        <v>46094</v>
      </c>
      <c r="D510" t="inlineStr">
        <is>
          <t>UPPSALA LÄN</t>
        </is>
      </c>
      <c r="E510" t="inlineStr">
        <is>
          <t>ENKÖPING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9257-2026</t>
        </is>
      </c>
      <c r="B511" s="1" t="n">
        <v>46070.51166666667</v>
      </c>
      <c r="C511" s="1" t="n">
        <v>46094</v>
      </c>
      <c r="D511" t="inlineStr">
        <is>
          <t>UPPSALA LÄN</t>
        </is>
      </c>
      <c r="E511" t="inlineStr">
        <is>
          <t>ENKÖPING</t>
        </is>
      </c>
      <c r="G511" t="n">
        <v>2.6</v>
      </c>
      <c r="H511" t="n">
        <v>0</v>
      </c>
      <c r="I511" t="n">
        <v>0</v>
      </c>
      <c r="J511" t="n">
        <v>0</v>
      </c>
      <c r="K511" t="n">
        <v>0</v>
      </c>
      <c r="L511" t="n">
        <v>0</v>
      </c>
      <c r="M511" t="n">
        <v>0</v>
      </c>
      <c r="N511" t="n">
        <v>0</v>
      </c>
      <c r="O511" t="n">
        <v>0</v>
      </c>
      <c r="P511" t="n">
        <v>0</v>
      </c>
      <c r="Q511" t="n">
        <v>0</v>
      </c>
      <c r="R511" s="2" t="inlineStr"/>
    </row>
    <row r="512" ht="15" customHeight="1">
      <c r="A512" t="inlineStr">
        <is>
          <t>A 861-2026</t>
        </is>
      </c>
      <c r="B512" s="1" t="n">
        <v>46030</v>
      </c>
      <c r="C512" s="1" t="n">
        <v>46094</v>
      </c>
      <c r="D512" t="inlineStr">
        <is>
          <t>UPPSALA LÄN</t>
        </is>
      </c>
      <c r="E512" t="inlineStr">
        <is>
          <t>ENKÖPING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2258-2026</t>
        </is>
      </c>
      <c r="B513" s="1" t="n">
        <v>46036</v>
      </c>
      <c r="C513" s="1" t="n">
        <v>46094</v>
      </c>
      <c r="D513" t="inlineStr">
        <is>
          <t>UPPSALA LÄN</t>
        </is>
      </c>
      <c r="E513" t="inlineStr">
        <is>
          <t>ENKÖPING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2218-2026</t>
        </is>
      </c>
      <c r="B514" s="1" t="n">
        <v>46036.50010416667</v>
      </c>
      <c r="C514" s="1" t="n">
        <v>46094</v>
      </c>
      <c r="D514" t="inlineStr">
        <is>
          <t>UPPSALA LÄN</t>
        </is>
      </c>
      <c r="E514" t="inlineStr">
        <is>
          <t>ENKÖPING</t>
        </is>
      </c>
      <c r="G514" t="n">
        <v>1.8</v>
      </c>
      <c r="H514" t="n">
        <v>0</v>
      </c>
      <c r="I514" t="n">
        <v>0</v>
      </c>
      <c r="J514" t="n">
        <v>0</v>
      </c>
      <c r="K514" t="n">
        <v>0</v>
      </c>
      <c r="L514" t="n">
        <v>0</v>
      </c>
      <c r="M514" t="n">
        <v>0</v>
      </c>
      <c r="N514" t="n">
        <v>0</v>
      </c>
      <c r="O514" t="n">
        <v>0</v>
      </c>
      <c r="P514" t="n">
        <v>0</v>
      </c>
      <c r="Q514" t="n">
        <v>0</v>
      </c>
      <c r="R514" s="2" t="inlineStr"/>
    </row>
    <row r="515" ht="15" customHeight="1">
      <c r="A515" t="inlineStr">
        <is>
          <t>A 12411-2026</t>
        </is>
      </c>
      <c r="B515" s="1" t="n">
        <v>46090.42670138889</v>
      </c>
      <c r="C515" s="1" t="n">
        <v>46094</v>
      </c>
      <c r="D515" t="inlineStr">
        <is>
          <t>UPPSALA LÄN</t>
        </is>
      </c>
      <c r="E515" t="inlineStr">
        <is>
          <t>ENKÖPING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5104-2026</t>
        </is>
      </c>
      <c r="B516" s="1" t="n">
        <v>46049.56914351852</v>
      </c>
      <c r="C516" s="1" t="n">
        <v>46094</v>
      </c>
      <c r="D516" t="inlineStr">
        <is>
          <t>UPPSALA LÄN</t>
        </is>
      </c>
      <c r="E516" t="inlineStr">
        <is>
          <t>ENKÖPING</t>
        </is>
      </c>
      <c r="G516" t="n">
        <v>2.3</v>
      </c>
      <c r="H516" t="n">
        <v>0</v>
      </c>
      <c r="I516" t="n">
        <v>0</v>
      </c>
      <c r="J516" t="n">
        <v>0</v>
      </c>
      <c r="K516" t="n">
        <v>0</v>
      </c>
      <c r="L516" t="n">
        <v>0</v>
      </c>
      <c r="M516" t="n">
        <v>0</v>
      </c>
      <c r="N516" t="n">
        <v>0</v>
      </c>
      <c r="O516" t="n">
        <v>0</v>
      </c>
      <c r="P516" t="n">
        <v>0</v>
      </c>
      <c r="Q516" t="n">
        <v>0</v>
      </c>
      <c r="R516" s="2" t="inlineStr"/>
    </row>
    <row r="517" ht="15" customHeight="1">
      <c r="A517" t="inlineStr">
        <is>
          <t>A 12996-2026</t>
        </is>
      </c>
      <c r="B517" s="1" t="n">
        <v>46092.68149305556</v>
      </c>
      <c r="C517" s="1" t="n">
        <v>46094</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row r="518" ht="15" customHeight="1">
      <c r="A518" t="inlineStr">
        <is>
          <t>A 12883-2026</t>
        </is>
      </c>
      <c r="B518" s="1" t="n">
        <v>46092</v>
      </c>
      <c r="C518" s="1" t="n">
        <v>46094</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25990-2025</t>
        </is>
      </c>
      <c r="B519" s="1" t="n">
        <v>45804.65229166667</v>
      </c>
      <c r="C519" s="1" t="n">
        <v>46094</v>
      </c>
      <c r="D519" t="inlineStr">
        <is>
          <t>UPPSALA LÄN</t>
        </is>
      </c>
      <c r="E519" t="inlineStr">
        <is>
          <t>ENKÖPING</t>
        </is>
      </c>
      <c r="G519" t="n">
        <v>1.8</v>
      </c>
      <c r="H519" t="n">
        <v>0</v>
      </c>
      <c r="I519" t="n">
        <v>0</v>
      </c>
      <c r="J519" t="n">
        <v>0</v>
      </c>
      <c r="K519" t="n">
        <v>0</v>
      </c>
      <c r="L519" t="n">
        <v>0</v>
      </c>
      <c r="M519" t="n">
        <v>0</v>
      </c>
      <c r="N519" t="n">
        <v>0</v>
      </c>
      <c r="O519" t="n">
        <v>0</v>
      </c>
      <c r="P519" t="n">
        <v>0</v>
      </c>
      <c r="Q519" t="n">
        <v>0</v>
      </c>
      <c r="R519" s="2" t="inlineStr"/>
    </row>
    <row r="520" ht="15" customHeight="1">
      <c r="A520" t="inlineStr">
        <is>
          <t>A 5569-2026</t>
        </is>
      </c>
      <c r="B520" s="1" t="n">
        <v>46050.89431712963</v>
      </c>
      <c r="C520" s="1" t="n">
        <v>46094</v>
      </c>
      <c r="D520" t="inlineStr">
        <is>
          <t>UPPSALA LÄN</t>
        </is>
      </c>
      <c r="E520" t="inlineStr">
        <is>
          <t>ENKÖPING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12997-2026</t>
        </is>
      </c>
      <c r="B521" s="1" t="n">
        <v>46092.6834375</v>
      </c>
      <c r="C521" s="1" t="n">
        <v>46094</v>
      </c>
      <c r="D521" t="inlineStr">
        <is>
          <t>UPPSALA LÄN</t>
        </is>
      </c>
      <c r="E521" t="inlineStr">
        <is>
          <t>ENKÖPING</t>
        </is>
      </c>
      <c r="G521" t="n">
        <v>0.6</v>
      </c>
      <c r="H521" t="n">
        <v>0</v>
      </c>
      <c r="I521" t="n">
        <v>0</v>
      </c>
      <c r="J521" t="n">
        <v>0</v>
      </c>
      <c r="K521" t="n">
        <v>0</v>
      </c>
      <c r="L521" t="n">
        <v>0</v>
      </c>
      <c r="M521" t="n">
        <v>0</v>
      </c>
      <c r="N521" t="n">
        <v>0</v>
      </c>
      <c r="O521" t="n">
        <v>0</v>
      </c>
      <c r="P521" t="n">
        <v>0</v>
      </c>
      <c r="Q521" t="n">
        <v>0</v>
      </c>
      <c r="R521" s="2" t="inlineStr"/>
    </row>
    <row r="522">
      <c r="A522" t="inlineStr">
        <is>
          <t>A 25989-2025</t>
        </is>
      </c>
      <c r="B522" s="1" t="n">
        <v>45804.65050925926</v>
      </c>
      <c r="C522" s="1" t="n">
        <v>46094</v>
      </c>
      <c r="D522" t="inlineStr">
        <is>
          <t>UPPSALA LÄN</t>
        </is>
      </c>
      <c r="E522" t="inlineStr">
        <is>
          <t>ENKÖPING</t>
        </is>
      </c>
      <c r="G522" t="n">
        <v>1.2</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2026-03-13T11:16:07Z</dcterms:created>
  <dcterms:modified xmlns:dcterms="http://purl.org/dc/terms/" xmlns:xsi="http://www.w3.org/2001/XMLSchema-instance" xsi:type="dcterms:W3CDTF">2026-03-13T11:16:08Z</dcterms:modified>
</cp:coreProperties>
</file>