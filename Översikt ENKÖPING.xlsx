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45741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45741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45741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45741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45741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45741</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45741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45741</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45741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45741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45741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45741</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45741</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45741</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45741</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45741</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45741</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45741</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45741</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45741</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45741</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45741</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45741</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45741</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425-2024</t>
        </is>
      </c>
      <c r="B26" s="1" t="n">
        <v>45296</v>
      </c>
      <c r="C26" s="1" t="n">
        <v>45741</v>
      </c>
      <c r="D26" t="inlineStr">
        <is>
          <t>UPPSALA LÄN</t>
        </is>
      </c>
      <c r="E26" t="inlineStr">
        <is>
          <t>ENKÖPING</t>
        </is>
      </c>
      <c r="G26" t="n">
        <v>8.300000000000001</v>
      </c>
      <c r="H26" t="n">
        <v>2</v>
      </c>
      <c r="I26" t="n">
        <v>0</v>
      </c>
      <c r="J26" t="n">
        <v>0</v>
      </c>
      <c r="K26" t="n">
        <v>0</v>
      </c>
      <c r="L26" t="n">
        <v>0</v>
      </c>
      <c r="M26" t="n">
        <v>0</v>
      </c>
      <c r="N26" t="n">
        <v>0</v>
      </c>
      <c r="O26" t="n">
        <v>0</v>
      </c>
      <c r="P26" t="n">
        <v>0</v>
      </c>
      <c r="Q26" t="n">
        <v>2</v>
      </c>
      <c r="R26" s="2" t="inlineStr">
        <is>
          <t>Grönsiska
Orre</t>
        </is>
      </c>
      <c r="S26">
        <f>HYPERLINK("https://klasma.github.io/Logging_0381/artfynd/A 425-2024 artfynd.xlsx", "A 425-2024")</f>
        <v/>
      </c>
      <c r="T26">
        <f>HYPERLINK("https://klasma.github.io/Logging_0381/kartor/A 425-2024 karta.png", "A 425-2024")</f>
        <v/>
      </c>
      <c r="V26">
        <f>HYPERLINK("https://klasma.github.io/Logging_0381/klagomål/A 425-2024 FSC-klagomål.docx", "A 425-2024")</f>
        <v/>
      </c>
      <c r="W26">
        <f>HYPERLINK("https://klasma.github.io/Logging_0381/klagomålsmail/A 425-2024 FSC-klagomål mail.docx", "A 425-2024")</f>
        <v/>
      </c>
      <c r="X26">
        <f>HYPERLINK("https://klasma.github.io/Logging_0381/tillsyn/A 425-2024 tillsynsbegäran.docx", "A 425-2024")</f>
        <v/>
      </c>
      <c r="Y26">
        <f>HYPERLINK("https://klasma.github.io/Logging_0381/tillsynsmail/A 425-2024 tillsynsbegäran mail.docx", "A 425-2024")</f>
        <v/>
      </c>
      <c r="Z26">
        <f>HYPERLINK("https://klasma.github.io/Logging_0381/fåglar/A 425-2024 prioriterade fågelarter.docx", "A 425-2024")</f>
        <v/>
      </c>
    </row>
    <row r="27" ht="15" customHeight="1">
      <c r="A27" t="inlineStr">
        <is>
          <t>A 24323-2024</t>
        </is>
      </c>
      <c r="B27" s="1" t="n">
        <v>45457</v>
      </c>
      <c r="C27" s="1" t="n">
        <v>45741</v>
      </c>
      <c r="D27" t="inlineStr">
        <is>
          <t>UPPSALA LÄN</t>
        </is>
      </c>
      <c r="E27" t="inlineStr">
        <is>
          <t>ENKÖPING</t>
        </is>
      </c>
      <c r="G27" t="n">
        <v>6.3</v>
      </c>
      <c r="H27" t="n">
        <v>2</v>
      </c>
      <c r="I27" t="n">
        <v>0</v>
      </c>
      <c r="J27" t="n">
        <v>1</v>
      </c>
      <c r="K27" t="n">
        <v>0</v>
      </c>
      <c r="L27" t="n">
        <v>0</v>
      </c>
      <c r="M27" t="n">
        <v>0</v>
      </c>
      <c r="N27" t="n">
        <v>0</v>
      </c>
      <c r="O27" t="n">
        <v>1</v>
      </c>
      <c r="P27" t="n">
        <v>0</v>
      </c>
      <c r="Q27" t="n">
        <v>2</v>
      </c>
      <c r="R27" s="2" t="inlineStr">
        <is>
          <t>Spillkråka
Mattlummer</t>
        </is>
      </c>
      <c r="S27">
        <f>HYPERLINK("https://klasma.github.io/Logging_0381/artfynd/A 24323-2024 artfynd.xlsx", "A 24323-2024")</f>
        <v/>
      </c>
      <c r="T27">
        <f>HYPERLINK("https://klasma.github.io/Logging_0381/kartor/A 24323-2024 karta.png", "A 24323-2024")</f>
        <v/>
      </c>
      <c r="V27">
        <f>HYPERLINK("https://klasma.github.io/Logging_0381/klagomål/A 24323-2024 FSC-klagomål.docx", "A 24323-2024")</f>
        <v/>
      </c>
      <c r="W27">
        <f>HYPERLINK("https://klasma.github.io/Logging_0381/klagomålsmail/A 24323-2024 FSC-klagomål mail.docx", "A 24323-2024")</f>
        <v/>
      </c>
      <c r="X27">
        <f>HYPERLINK("https://klasma.github.io/Logging_0381/tillsyn/A 24323-2024 tillsynsbegäran.docx", "A 24323-2024")</f>
        <v/>
      </c>
      <c r="Y27">
        <f>HYPERLINK("https://klasma.github.io/Logging_0381/tillsynsmail/A 24323-2024 tillsynsbegäran mail.docx", "A 24323-2024")</f>
        <v/>
      </c>
      <c r="Z27">
        <f>HYPERLINK("https://klasma.github.io/Logging_0381/fåglar/A 24323-2024 prioriterade fågelarter.docx", "A 24323-2024")</f>
        <v/>
      </c>
    </row>
    <row r="28" ht="15" customHeight="1">
      <c r="A28" t="inlineStr">
        <is>
          <t>A 39974-2019</t>
        </is>
      </c>
      <c r="B28" s="1" t="n">
        <v>43692</v>
      </c>
      <c r="C28" s="1" t="n">
        <v>45741</v>
      </c>
      <c r="D28" t="inlineStr">
        <is>
          <t>UPPSALA LÄN</t>
        </is>
      </c>
      <c r="E28" t="inlineStr">
        <is>
          <t>ENKÖPING</t>
        </is>
      </c>
      <c r="G28" t="n">
        <v>6</v>
      </c>
      <c r="H28" t="n">
        <v>1</v>
      </c>
      <c r="I28" t="n">
        <v>0</v>
      </c>
      <c r="J28" t="n">
        <v>1</v>
      </c>
      <c r="K28" t="n">
        <v>0</v>
      </c>
      <c r="L28" t="n">
        <v>0</v>
      </c>
      <c r="M28" t="n">
        <v>0</v>
      </c>
      <c r="N28" t="n">
        <v>0</v>
      </c>
      <c r="O28" t="n">
        <v>1</v>
      </c>
      <c r="P28" t="n">
        <v>0</v>
      </c>
      <c r="Q28" t="n">
        <v>1</v>
      </c>
      <c r="R28" s="2" t="inlineStr">
        <is>
          <t>Havsörn</t>
        </is>
      </c>
      <c r="S28">
        <f>HYPERLINK("https://klasma.github.io/Logging_0381/artfynd/A 39974-2019 artfynd.xlsx", "A 39974-2019")</f>
        <v/>
      </c>
      <c r="T28">
        <f>HYPERLINK("https://klasma.github.io/Logging_0381/kartor/A 39974-2019 karta.png", "A 39974-2019")</f>
        <v/>
      </c>
      <c r="V28">
        <f>HYPERLINK("https://klasma.github.io/Logging_0381/klagomål/A 39974-2019 FSC-klagomål.docx", "A 39974-2019")</f>
        <v/>
      </c>
      <c r="W28">
        <f>HYPERLINK("https://klasma.github.io/Logging_0381/klagomålsmail/A 39974-2019 FSC-klagomål mail.docx", "A 39974-2019")</f>
        <v/>
      </c>
      <c r="X28">
        <f>HYPERLINK("https://klasma.github.io/Logging_0381/tillsyn/A 39974-2019 tillsynsbegäran.docx", "A 39974-2019")</f>
        <v/>
      </c>
      <c r="Y28">
        <f>HYPERLINK("https://klasma.github.io/Logging_0381/tillsynsmail/A 39974-2019 tillsynsbegäran mail.docx", "A 39974-2019")</f>
        <v/>
      </c>
      <c r="Z28">
        <f>HYPERLINK("https://klasma.github.io/Logging_0381/fåglar/A 39974-2019 prioriterade fågelarter.docx", "A 39974-2019")</f>
        <v/>
      </c>
    </row>
    <row r="29" ht="15" customHeight="1">
      <c r="A29" t="inlineStr">
        <is>
          <t>A 40881-2019</t>
        </is>
      </c>
      <c r="B29" s="1" t="n">
        <v>43697</v>
      </c>
      <c r="C29" s="1" t="n">
        <v>45741</v>
      </c>
      <c r="D29" t="inlineStr">
        <is>
          <t>UPPSALA LÄN</t>
        </is>
      </c>
      <c r="E29" t="inlineStr">
        <is>
          <t>ENKÖPING</t>
        </is>
      </c>
      <c r="G29" t="n">
        <v>21</v>
      </c>
      <c r="H29" t="n">
        <v>0</v>
      </c>
      <c r="I29" t="n">
        <v>1</v>
      </c>
      <c r="J29" t="n">
        <v>0</v>
      </c>
      <c r="K29" t="n">
        <v>0</v>
      </c>
      <c r="L29" t="n">
        <v>0</v>
      </c>
      <c r="M29" t="n">
        <v>0</v>
      </c>
      <c r="N29" t="n">
        <v>0</v>
      </c>
      <c r="O29" t="n">
        <v>0</v>
      </c>
      <c r="P29" t="n">
        <v>0</v>
      </c>
      <c r="Q29" t="n">
        <v>1</v>
      </c>
      <c r="R29" s="2" t="inlineStr">
        <is>
          <t>Rävticka</t>
        </is>
      </c>
      <c r="S29">
        <f>HYPERLINK("https://klasma.github.io/Logging_0381/artfynd/A 40881-2019 artfynd.xlsx", "A 40881-2019")</f>
        <v/>
      </c>
      <c r="T29">
        <f>HYPERLINK("https://klasma.github.io/Logging_0381/kartor/A 40881-2019 karta.png", "A 40881-2019")</f>
        <v/>
      </c>
      <c r="V29">
        <f>HYPERLINK("https://klasma.github.io/Logging_0381/klagomål/A 40881-2019 FSC-klagomål.docx", "A 40881-2019")</f>
        <v/>
      </c>
      <c r="W29">
        <f>HYPERLINK("https://klasma.github.io/Logging_0381/klagomålsmail/A 40881-2019 FSC-klagomål mail.docx", "A 40881-2019")</f>
        <v/>
      </c>
      <c r="X29">
        <f>HYPERLINK("https://klasma.github.io/Logging_0381/tillsyn/A 40881-2019 tillsynsbegäran.docx", "A 40881-2019")</f>
        <v/>
      </c>
      <c r="Y29">
        <f>HYPERLINK("https://klasma.github.io/Logging_0381/tillsynsmail/A 40881-2019 tillsynsbegäran mail.docx", "A 40881-2019")</f>
        <v/>
      </c>
    </row>
    <row r="30" ht="15" customHeight="1">
      <c r="A30" t="inlineStr">
        <is>
          <t>A 42340-2019</t>
        </is>
      </c>
      <c r="B30" s="1" t="n">
        <v>43703</v>
      </c>
      <c r="C30" s="1" t="n">
        <v>45741</v>
      </c>
      <c r="D30" t="inlineStr">
        <is>
          <t>UPPSALA LÄN</t>
        </is>
      </c>
      <c r="E30" t="inlineStr">
        <is>
          <t>ENKÖPING</t>
        </is>
      </c>
      <c r="G30" t="n">
        <v>3.9</v>
      </c>
      <c r="H30" t="n">
        <v>1</v>
      </c>
      <c r="I30" t="n">
        <v>0</v>
      </c>
      <c r="J30" t="n">
        <v>1</v>
      </c>
      <c r="K30" t="n">
        <v>0</v>
      </c>
      <c r="L30" t="n">
        <v>0</v>
      </c>
      <c r="M30" t="n">
        <v>0</v>
      </c>
      <c r="N30" t="n">
        <v>0</v>
      </c>
      <c r="O30" t="n">
        <v>1</v>
      </c>
      <c r="P30" t="n">
        <v>0</v>
      </c>
      <c r="Q30" t="n">
        <v>1</v>
      </c>
      <c r="R30" s="2" t="inlineStr">
        <is>
          <t>Spillkråka</t>
        </is>
      </c>
      <c r="S30">
        <f>HYPERLINK("https://klasma.github.io/Logging_0381/artfynd/A 42340-2019 artfynd.xlsx", "A 42340-2019")</f>
        <v/>
      </c>
      <c r="T30">
        <f>HYPERLINK("https://klasma.github.io/Logging_0381/kartor/A 42340-2019 karta.png", "A 42340-2019")</f>
        <v/>
      </c>
      <c r="V30">
        <f>HYPERLINK("https://klasma.github.io/Logging_0381/klagomål/A 42340-2019 FSC-klagomål.docx", "A 42340-2019")</f>
        <v/>
      </c>
      <c r="W30">
        <f>HYPERLINK("https://klasma.github.io/Logging_0381/klagomålsmail/A 42340-2019 FSC-klagomål mail.docx", "A 42340-2019")</f>
        <v/>
      </c>
      <c r="X30">
        <f>HYPERLINK("https://klasma.github.io/Logging_0381/tillsyn/A 42340-2019 tillsynsbegäran.docx", "A 42340-2019")</f>
        <v/>
      </c>
      <c r="Y30">
        <f>HYPERLINK("https://klasma.github.io/Logging_0381/tillsynsmail/A 42340-2019 tillsynsbegäran mail.docx", "A 42340-2019")</f>
        <v/>
      </c>
      <c r="Z30">
        <f>HYPERLINK("https://klasma.github.io/Logging_0381/fåglar/A 42340-2019 prioriterade fågelarter.docx", "A 42340-2019")</f>
        <v/>
      </c>
    </row>
    <row r="31" ht="15" customHeight="1">
      <c r="A31" t="inlineStr">
        <is>
          <t>A 49060-2019</t>
        </is>
      </c>
      <c r="B31" s="1" t="n">
        <v>43731</v>
      </c>
      <c r="C31" s="1" t="n">
        <v>45741</v>
      </c>
      <c r="D31" t="inlineStr">
        <is>
          <t>UPPSALA LÄN</t>
        </is>
      </c>
      <c r="E31" t="inlineStr">
        <is>
          <t>ENKÖPING</t>
        </is>
      </c>
      <c r="F31" t="inlineStr">
        <is>
          <t>Kyrkan</t>
        </is>
      </c>
      <c r="G31" t="n">
        <v>1.5</v>
      </c>
      <c r="H31" t="n">
        <v>0</v>
      </c>
      <c r="I31" t="n">
        <v>0</v>
      </c>
      <c r="J31" t="n">
        <v>1</v>
      </c>
      <c r="K31" t="n">
        <v>0</v>
      </c>
      <c r="L31" t="n">
        <v>0</v>
      </c>
      <c r="M31" t="n">
        <v>0</v>
      </c>
      <c r="N31" t="n">
        <v>0</v>
      </c>
      <c r="O31" t="n">
        <v>1</v>
      </c>
      <c r="P31" t="n">
        <v>0</v>
      </c>
      <c r="Q31" t="n">
        <v>1</v>
      </c>
      <c r="R31" s="2" t="inlineStr">
        <is>
          <t>Backtimjan</t>
        </is>
      </c>
      <c r="S31">
        <f>HYPERLINK("https://klasma.github.io/Logging_0381/artfynd/A 49060-2019 artfynd.xlsx", "A 49060-2019")</f>
        <v/>
      </c>
      <c r="T31">
        <f>HYPERLINK("https://klasma.github.io/Logging_0381/kartor/A 49060-2019 karta.png", "A 49060-2019")</f>
        <v/>
      </c>
      <c r="V31">
        <f>HYPERLINK("https://klasma.github.io/Logging_0381/klagomål/A 49060-2019 FSC-klagomål.docx", "A 49060-2019")</f>
        <v/>
      </c>
      <c r="W31">
        <f>HYPERLINK("https://klasma.github.io/Logging_0381/klagomålsmail/A 49060-2019 FSC-klagomål mail.docx", "A 49060-2019")</f>
        <v/>
      </c>
      <c r="X31">
        <f>HYPERLINK("https://klasma.github.io/Logging_0381/tillsyn/A 49060-2019 tillsynsbegäran.docx", "A 49060-2019")</f>
        <v/>
      </c>
      <c r="Y31">
        <f>HYPERLINK("https://klasma.github.io/Logging_0381/tillsynsmail/A 49060-2019 tillsynsbegäran mail.docx", "A 49060-2019")</f>
        <v/>
      </c>
    </row>
    <row r="32" ht="15" customHeight="1">
      <c r="A32" t="inlineStr">
        <is>
          <t>A 6075-2020</t>
        </is>
      </c>
      <c r="B32" s="1" t="n">
        <v>43865</v>
      </c>
      <c r="C32" s="1" t="n">
        <v>45741</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6075-2020 artfynd.xlsx", "A 6075-2020")</f>
        <v/>
      </c>
      <c r="T32">
        <f>HYPERLINK("https://klasma.github.io/Logging_0381/kartor/A 6075-2020 karta.png", "A 6075-2020")</f>
        <v/>
      </c>
      <c r="V32">
        <f>HYPERLINK("https://klasma.github.io/Logging_0381/klagomål/A 6075-2020 FSC-klagomål.docx", "A 6075-2020")</f>
        <v/>
      </c>
      <c r="W32">
        <f>HYPERLINK("https://klasma.github.io/Logging_0381/klagomålsmail/A 6075-2020 FSC-klagomål mail.docx", "A 6075-2020")</f>
        <v/>
      </c>
      <c r="X32">
        <f>HYPERLINK("https://klasma.github.io/Logging_0381/tillsyn/A 6075-2020 tillsynsbegäran.docx", "A 6075-2020")</f>
        <v/>
      </c>
      <c r="Y32">
        <f>HYPERLINK("https://klasma.github.io/Logging_0381/tillsynsmail/A 6075-2020 tillsynsbegäran mail.docx", "A 6075-2020")</f>
        <v/>
      </c>
      <c r="Z32">
        <f>HYPERLINK("https://klasma.github.io/Logging_0381/fåglar/A 6075-2020 prioriterade fågelarter.docx", "A 6075-2020")</f>
        <v/>
      </c>
    </row>
    <row r="33" ht="15" customHeight="1">
      <c r="A33" t="inlineStr">
        <is>
          <t>A 46185-2020</t>
        </is>
      </c>
      <c r="B33" s="1" t="n">
        <v>44092</v>
      </c>
      <c r="C33" s="1" t="n">
        <v>45741</v>
      </c>
      <c r="D33" t="inlineStr">
        <is>
          <t>UPPSALA LÄN</t>
        </is>
      </c>
      <c r="E33" t="inlineStr">
        <is>
          <t>ENKÖPING</t>
        </is>
      </c>
      <c r="G33" t="n">
        <v>1.7</v>
      </c>
      <c r="H33" t="n">
        <v>0</v>
      </c>
      <c r="I33" t="n">
        <v>1</v>
      </c>
      <c r="J33" t="n">
        <v>0</v>
      </c>
      <c r="K33" t="n">
        <v>0</v>
      </c>
      <c r="L33" t="n">
        <v>0</v>
      </c>
      <c r="M33" t="n">
        <v>0</v>
      </c>
      <c r="N33" t="n">
        <v>0</v>
      </c>
      <c r="O33" t="n">
        <v>0</v>
      </c>
      <c r="P33" t="n">
        <v>0</v>
      </c>
      <c r="Q33" t="n">
        <v>1</v>
      </c>
      <c r="R33" s="2" t="inlineStr">
        <is>
          <t>Vedticka</t>
        </is>
      </c>
      <c r="S33">
        <f>HYPERLINK("https://klasma.github.io/Logging_0381/artfynd/A 46185-2020 artfynd.xlsx", "A 46185-2020")</f>
        <v/>
      </c>
      <c r="T33">
        <f>HYPERLINK("https://klasma.github.io/Logging_0381/kartor/A 46185-2020 karta.png", "A 46185-2020")</f>
        <v/>
      </c>
      <c r="V33">
        <f>HYPERLINK("https://klasma.github.io/Logging_0381/klagomål/A 46185-2020 FSC-klagomål.docx", "A 46185-2020")</f>
        <v/>
      </c>
      <c r="W33">
        <f>HYPERLINK("https://klasma.github.io/Logging_0381/klagomålsmail/A 46185-2020 FSC-klagomål mail.docx", "A 46185-2020")</f>
        <v/>
      </c>
      <c r="X33">
        <f>HYPERLINK("https://klasma.github.io/Logging_0381/tillsyn/A 46185-2020 tillsynsbegäran.docx", "A 46185-2020")</f>
        <v/>
      </c>
      <c r="Y33">
        <f>HYPERLINK("https://klasma.github.io/Logging_0381/tillsynsmail/A 46185-2020 tillsynsbegäran mail.docx", "A 46185-2020")</f>
        <v/>
      </c>
    </row>
    <row r="34" ht="15" customHeight="1">
      <c r="A34" t="inlineStr">
        <is>
          <t>A 23385-2021</t>
        </is>
      </c>
      <c r="B34" s="1" t="n">
        <v>44333</v>
      </c>
      <c r="C34" s="1" t="n">
        <v>45741</v>
      </c>
      <c r="D34" t="inlineStr">
        <is>
          <t>UPPSALA LÄN</t>
        </is>
      </c>
      <c r="E34" t="inlineStr">
        <is>
          <t>ENKÖPING</t>
        </is>
      </c>
      <c r="G34" t="n">
        <v>0.7</v>
      </c>
      <c r="H34" t="n">
        <v>1</v>
      </c>
      <c r="I34" t="n">
        <v>0</v>
      </c>
      <c r="J34" t="n">
        <v>1</v>
      </c>
      <c r="K34" t="n">
        <v>0</v>
      </c>
      <c r="L34" t="n">
        <v>0</v>
      </c>
      <c r="M34" t="n">
        <v>0</v>
      </c>
      <c r="N34" t="n">
        <v>0</v>
      </c>
      <c r="O34" t="n">
        <v>1</v>
      </c>
      <c r="P34" t="n">
        <v>0</v>
      </c>
      <c r="Q34" t="n">
        <v>1</v>
      </c>
      <c r="R34" s="2" t="inlineStr">
        <is>
          <t>Talltita</t>
        </is>
      </c>
      <c r="S34">
        <f>HYPERLINK("https://klasma.github.io/Logging_0381/artfynd/A 23385-2021 artfynd.xlsx", "A 23385-2021")</f>
        <v/>
      </c>
      <c r="T34">
        <f>HYPERLINK("https://klasma.github.io/Logging_0381/kartor/A 23385-2021 karta.png", "A 23385-2021")</f>
        <v/>
      </c>
      <c r="V34">
        <f>HYPERLINK("https://klasma.github.io/Logging_0381/klagomål/A 23385-2021 FSC-klagomål.docx", "A 23385-2021")</f>
        <v/>
      </c>
      <c r="W34">
        <f>HYPERLINK("https://klasma.github.io/Logging_0381/klagomålsmail/A 23385-2021 FSC-klagomål mail.docx", "A 23385-2021")</f>
        <v/>
      </c>
      <c r="X34">
        <f>HYPERLINK("https://klasma.github.io/Logging_0381/tillsyn/A 23385-2021 tillsynsbegäran.docx", "A 23385-2021")</f>
        <v/>
      </c>
      <c r="Y34">
        <f>HYPERLINK("https://klasma.github.io/Logging_0381/tillsynsmail/A 23385-2021 tillsynsbegäran mail.docx", "A 23385-2021")</f>
        <v/>
      </c>
      <c r="Z34">
        <f>HYPERLINK("https://klasma.github.io/Logging_0381/fåglar/A 23385-2021 prioriterade fågelarter.docx", "A 23385-2021")</f>
        <v/>
      </c>
    </row>
    <row r="35" ht="15" customHeight="1">
      <c r="A35" t="inlineStr">
        <is>
          <t>A 36523-2021</t>
        </is>
      </c>
      <c r="B35" s="1" t="n">
        <v>44391</v>
      </c>
      <c r="C35" s="1" t="n">
        <v>45741</v>
      </c>
      <c r="D35" t="inlineStr">
        <is>
          <t>UPPSALA LÄN</t>
        </is>
      </c>
      <c r="E35" t="inlineStr">
        <is>
          <t>ENKÖPING</t>
        </is>
      </c>
      <c r="G35" t="n">
        <v>3.5</v>
      </c>
      <c r="H35" t="n">
        <v>1</v>
      </c>
      <c r="I35" t="n">
        <v>0</v>
      </c>
      <c r="J35" t="n">
        <v>1</v>
      </c>
      <c r="K35" t="n">
        <v>0</v>
      </c>
      <c r="L35" t="n">
        <v>0</v>
      </c>
      <c r="M35" t="n">
        <v>0</v>
      </c>
      <c r="N35" t="n">
        <v>0</v>
      </c>
      <c r="O35" t="n">
        <v>1</v>
      </c>
      <c r="P35" t="n">
        <v>0</v>
      </c>
      <c r="Q35" t="n">
        <v>1</v>
      </c>
      <c r="R35" s="2" t="inlineStr">
        <is>
          <t>Spillkråka</t>
        </is>
      </c>
      <c r="S35">
        <f>HYPERLINK("https://klasma.github.io/Logging_0381/artfynd/A 36523-2021 artfynd.xlsx", "A 36523-2021")</f>
        <v/>
      </c>
      <c r="T35">
        <f>HYPERLINK("https://klasma.github.io/Logging_0381/kartor/A 36523-2021 karta.png", "A 36523-2021")</f>
        <v/>
      </c>
      <c r="V35">
        <f>HYPERLINK("https://klasma.github.io/Logging_0381/klagomål/A 36523-2021 FSC-klagomål.docx", "A 36523-2021")</f>
        <v/>
      </c>
      <c r="W35">
        <f>HYPERLINK("https://klasma.github.io/Logging_0381/klagomålsmail/A 36523-2021 FSC-klagomål mail.docx", "A 36523-2021")</f>
        <v/>
      </c>
      <c r="X35">
        <f>HYPERLINK("https://klasma.github.io/Logging_0381/tillsyn/A 36523-2021 tillsynsbegäran.docx", "A 36523-2021")</f>
        <v/>
      </c>
      <c r="Y35">
        <f>HYPERLINK("https://klasma.github.io/Logging_0381/tillsynsmail/A 36523-2021 tillsynsbegäran mail.docx", "A 36523-2021")</f>
        <v/>
      </c>
      <c r="Z35">
        <f>HYPERLINK("https://klasma.github.io/Logging_0381/fåglar/A 36523-2021 prioriterade fågelarter.docx", "A 36523-2021")</f>
        <v/>
      </c>
    </row>
    <row r="36" ht="15" customHeight="1">
      <c r="A36" t="inlineStr">
        <is>
          <t>A 60855-2021</t>
        </is>
      </c>
      <c r="B36" s="1" t="n">
        <v>44497</v>
      </c>
      <c r="C36" s="1" t="n">
        <v>45741</v>
      </c>
      <c r="D36" t="inlineStr">
        <is>
          <t>UPPSALA LÄN</t>
        </is>
      </c>
      <c r="E36" t="inlineStr">
        <is>
          <t>ENKÖPING</t>
        </is>
      </c>
      <c r="G36" t="n">
        <v>1.2</v>
      </c>
      <c r="H36" t="n">
        <v>1</v>
      </c>
      <c r="I36" t="n">
        <v>0</v>
      </c>
      <c r="J36" t="n">
        <v>0</v>
      </c>
      <c r="K36" t="n">
        <v>1</v>
      </c>
      <c r="L36" t="n">
        <v>0</v>
      </c>
      <c r="M36" t="n">
        <v>0</v>
      </c>
      <c r="N36" t="n">
        <v>0</v>
      </c>
      <c r="O36" t="n">
        <v>1</v>
      </c>
      <c r="P36" t="n">
        <v>1</v>
      </c>
      <c r="Q36" t="n">
        <v>1</v>
      </c>
      <c r="R36" s="2" t="inlineStr">
        <is>
          <t>Knärot</t>
        </is>
      </c>
      <c r="S36">
        <f>HYPERLINK("https://klasma.github.io/Logging_0381/artfynd/A 60855-2021 artfynd.xlsx", "A 60855-2021")</f>
        <v/>
      </c>
      <c r="T36">
        <f>HYPERLINK("https://klasma.github.io/Logging_0381/kartor/A 60855-2021 karta.png", "A 60855-2021")</f>
        <v/>
      </c>
      <c r="U36">
        <f>HYPERLINK("https://klasma.github.io/Logging_0381/knärot/A 60855-2021 karta knärot.png", "A 60855-2021")</f>
        <v/>
      </c>
      <c r="V36">
        <f>HYPERLINK("https://klasma.github.io/Logging_0381/klagomål/A 60855-2021 FSC-klagomål.docx", "A 60855-2021")</f>
        <v/>
      </c>
      <c r="W36">
        <f>HYPERLINK("https://klasma.github.io/Logging_0381/klagomålsmail/A 60855-2021 FSC-klagomål mail.docx", "A 60855-2021")</f>
        <v/>
      </c>
      <c r="X36">
        <f>HYPERLINK("https://klasma.github.io/Logging_0381/tillsyn/A 60855-2021 tillsynsbegäran.docx", "A 60855-2021")</f>
        <v/>
      </c>
      <c r="Y36">
        <f>HYPERLINK("https://klasma.github.io/Logging_0381/tillsynsmail/A 60855-2021 tillsynsbegäran mail.docx", "A 60855-2021")</f>
        <v/>
      </c>
    </row>
    <row r="37" ht="15" customHeight="1">
      <c r="A37" t="inlineStr">
        <is>
          <t>A 74028-2021</t>
        </is>
      </c>
      <c r="B37" s="1" t="n">
        <v>44557</v>
      </c>
      <c r="C37" s="1" t="n">
        <v>45741</v>
      </c>
      <c r="D37" t="inlineStr">
        <is>
          <t>UPPSALA LÄN</t>
        </is>
      </c>
      <c r="E37" t="inlineStr">
        <is>
          <t>ENKÖPING</t>
        </is>
      </c>
      <c r="G37" t="n">
        <v>7.3</v>
      </c>
      <c r="H37" t="n">
        <v>1</v>
      </c>
      <c r="I37" t="n">
        <v>0</v>
      </c>
      <c r="J37" t="n">
        <v>0</v>
      </c>
      <c r="K37" t="n">
        <v>0</v>
      </c>
      <c r="L37" t="n">
        <v>0</v>
      </c>
      <c r="M37" t="n">
        <v>0</v>
      </c>
      <c r="N37" t="n">
        <v>0</v>
      </c>
      <c r="O37" t="n">
        <v>0</v>
      </c>
      <c r="P37" t="n">
        <v>0</v>
      </c>
      <c r="Q37" t="n">
        <v>1</v>
      </c>
      <c r="R37" s="2" t="inlineStr">
        <is>
          <t>Tjäder</t>
        </is>
      </c>
      <c r="S37">
        <f>HYPERLINK("https://klasma.github.io/Logging_0381/artfynd/A 74028-2021 artfynd.xlsx", "A 74028-2021")</f>
        <v/>
      </c>
      <c r="T37">
        <f>HYPERLINK("https://klasma.github.io/Logging_0381/kartor/A 74028-2021 karta.png", "A 74028-2021")</f>
        <v/>
      </c>
      <c r="V37">
        <f>HYPERLINK("https://klasma.github.io/Logging_0381/klagomål/A 74028-2021 FSC-klagomål.docx", "A 74028-2021")</f>
        <v/>
      </c>
      <c r="W37">
        <f>HYPERLINK("https://klasma.github.io/Logging_0381/klagomålsmail/A 74028-2021 FSC-klagomål mail.docx", "A 74028-2021")</f>
        <v/>
      </c>
      <c r="X37">
        <f>HYPERLINK("https://klasma.github.io/Logging_0381/tillsyn/A 74028-2021 tillsynsbegäran.docx", "A 74028-2021")</f>
        <v/>
      </c>
      <c r="Y37">
        <f>HYPERLINK("https://klasma.github.io/Logging_0381/tillsynsmail/A 74028-2021 tillsynsbegäran mail.docx", "A 74028-2021")</f>
        <v/>
      </c>
      <c r="Z37">
        <f>HYPERLINK("https://klasma.github.io/Logging_0381/fåglar/A 74028-2021 prioriterade fågelarter.docx", "A 74028-2021")</f>
        <v/>
      </c>
    </row>
    <row r="38" ht="15" customHeight="1">
      <c r="A38" t="inlineStr">
        <is>
          <t>A 18588-2022</t>
        </is>
      </c>
      <c r="B38" s="1" t="n">
        <v>44687</v>
      </c>
      <c r="C38" s="1" t="n">
        <v>45741</v>
      </c>
      <c r="D38" t="inlineStr">
        <is>
          <t>UPPSALA LÄN</t>
        </is>
      </c>
      <c r="E38" t="inlineStr">
        <is>
          <t>ENKÖPING</t>
        </is>
      </c>
      <c r="G38" t="n">
        <v>6.7</v>
      </c>
      <c r="H38" t="n">
        <v>1</v>
      </c>
      <c r="I38" t="n">
        <v>0</v>
      </c>
      <c r="J38" t="n">
        <v>0</v>
      </c>
      <c r="K38" t="n">
        <v>1</v>
      </c>
      <c r="L38" t="n">
        <v>0</v>
      </c>
      <c r="M38" t="n">
        <v>0</v>
      </c>
      <c r="N38" t="n">
        <v>0</v>
      </c>
      <c r="O38" t="n">
        <v>1</v>
      </c>
      <c r="P38" t="n">
        <v>1</v>
      </c>
      <c r="Q38" t="n">
        <v>1</v>
      </c>
      <c r="R38" s="2" t="inlineStr">
        <is>
          <t>Bombmurkla</t>
        </is>
      </c>
      <c r="S38">
        <f>HYPERLINK("https://klasma.github.io/Logging_0381/artfynd/A 18588-2022 artfynd.xlsx", "A 18588-2022")</f>
        <v/>
      </c>
      <c r="T38">
        <f>HYPERLINK("https://klasma.github.io/Logging_0381/kartor/A 18588-2022 karta.png", "A 18588-2022")</f>
        <v/>
      </c>
      <c r="V38">
        <f>HYPERLINK("https://klasma.github.io/Logging_0381/klagomål/A 18588-2022 FSC-klagomål.docx", "A 18588-2022")</f>
        <v/>
      </c>
      <c r="W38">
        <f>HYPERLINK("https://klasma.github.io/Logging_0381/klagomålsmail/A 18588-2022 FSC-klagomål mail.docx", "A 18588-2022")</f>
        <v/>
      </c>
      <c r="X38">
        <f>HYPERLINK("https://klasma.github.io/Logging_0381/tillsyn/A 18588-2022 tillsynsbegäran.docx", "A 18588-2022")</f>
        <v/>
      </c>
      <c r="Y38">
        <f>HYPERLINK("https://klasma.github.io/Logging_0381/tillsynsmail/A 18588-2022 tillsynsbegäran mail.docx", "A 18588-2022")</f>
        <v/>
      </c>
    </row>
    <row r="39" ht="15" customHeight="1">
      <c r="A39" t="inlineStr">
        <is>
          <t>A 23961-2022</t>
        </is>
      </c>
      <c r="B39" s="1" t="n">
        <v>44722</v>
      </c>
      <c r="C39" s="1" t="n">
        <v>45741</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Blåsippa</t>
        </is>
      </c>
      <c r="S39">
        <f>HYPERLINK("https://klasma.github.io/Logging_0381/artfynd/A 23961-2022 artfynd.xlsx", "A 23961-2022")</f>
        <v/>
      </c>
      <c r="T39">
        <f>HYPERLINK("https://klasma.github.io/Logging_0381/kartor/A 23961-2022 karta.png", "A 23961-2022")</f>
        <v/>
      </c>
      <c r="V39">
        <f>HYPERLINK("https://klasma.github.io/Logging_0381/klagomål/A 23961-2022 FSC-klagomål.docx", "A 23961-2022")</f>
        <v/>
      </c>
      <c r="W39">
        <f>HYPERLINK("https://klasma.github.io/Logging_0381/klagomålsmail/A 23961-2022 FSC-klagomål mail.docx", "A 23961-2022")</f>
        <v/>
      </c>
      <c r="X39">
        <f>HYPERLINK("https://klasma.github.io/Logging_0381/tillsyn/A 23961-2022 tillsynsbegäran.docx", "A 23961-2022")</f>
        <v/>
      </c>
      <c r="Y39">
        <f>HYPERLINK("https://klasma.github.io/Logging_0381/tillsynsmail/A 23961-2022 tillsynsbegäran mail.docx", "A 23961-2022")</f>
        <v/>
      </c>
    </row>
    <row r="40" ht="15" customHeight="1">
      <c r="A40" t="inlineStr">
        <is>
          <t>A 1524-2023</t>
        </is>
      </c>
      <c r="B40" s="1" t="n">
        <v>44935</v>
      </c>
      <c r="C40" s="1" t="n">
        <v>45741</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Skogsduva</t>
        </is>
      </c>
      <c r="S40">
        <f>HYPERLINK("https://klasma.github.io/Logging_0381/artfynd/A 1524-2023 artfynd.xlsx", "A 1524-2023")</f>
        <v/>
      </c>
      <c r="T40">
        <f>HYPERLINK("https://klasma.github.io/Logging_0381/kartor/A 1524-2023 karta.png", "A 1524-2023")</f>
        <v/>
      </c>
      <c r="V40">
        <f>HYPERLINK("https://klasma.github.io/Logging_0381/klagomål/A 1524-2023 FSC-klagomål.docx", "A 1524-2023")</f>
        <v/>
      </c>
      <c r="W40">
        <f>HYPERLINK("https://klasma.github.io/Logging_0381/klagomålsmail/A 1524-2023 FSC-klagomål mail.docx", "A 1524-2023")</f>
        <v/>
      </c>
      <c r="X40">
        <f>HYPERLINK("https://klasma.github.io/Logging_0381/tillsyn/A 1524-2023 tillsynsbegäran.docx", "A 1524-2023")</f>
        <v/>
      </c>
      <c r="Y40">
        <f>HYPERLINK("https://klasma.github.io/Logging_0381/tillsynsmail/A 1524-2023 tillsynsbegäran mail.docx", "A 1524-2023")</f>
        <v/>
      </c>
      <c r="Z40">
        <f>HYPERLINK("https://klasma.github.io/Logging_0381/fåglar/A 1524-2023 prioriterade fågelarter.docx", "A 1524-2023")</f>
        <v/>
      </c>
    </row>
    <row r="41" ht="15" customHeight="1">
      <c r="A41" t="inlineStr">
        <is>
          <t>A 39623-2023</t>
        </is>
      </c>
      <c r="B41" s="1" t="n">
        <v>45164</v>
      </c>
      <c r="C41" s="1" t="n">
        <v>45741</v>
      </c>
      <c r="D41" t="inlineStr">
        <is>
          <t>UPPSALA LÄN</t>
        </is>
      </c>
      <c r="E41" t="inlineStr">
        <is>
          <t>ENKÖPING</t>
        </is>
      </c>
      <c r="G41" t="n">
        <v>7.6</v>
      </c>
      <c r="H41" t="n">
        <v>0</v>
      </c>
      <c r="I41" t="n">
        <v>1</v>
      </c>
      <c r="J41" t="n">
        <v>0</v>
      </c>
      <c r="K41" t="n">
        <v>0</v>
      </c>
      <c r="L41" t="n">
        <v>0</v>
      </c>
      <c r="M41" t="n">
        <v>0</v>
      </c>
      <c r="N41" t="n">
        <v>0</v>
      </c>
      <c r="O41" t="n">
        <v>0</v>
      </c>
      <c r="P41" t="n">
        <v>0</v>
      </c>
      <c r="Q41" t="n">
        <v>1</v>
      </c>
      <c r="R41" s="2" t="inlineStr">
        <is>
          <t>Strimspindling</t>
        </is>
      </c>
      <c r="S41">
        <f>HYPERLINK("https://klasma.github.io/Logging_0381/artfynd/A 39623-2023 artfynd.xlsx", "A 39623-2023")</f>
        <v/>
      </c>
      <c r="T41">
        <f>HYPERLINK("https://klasma.github.io/Logging_0381/kartor/A 39623-2023 karta.png", "A 39623-2023")</f>
        <v/>
      </c>
      <c r="V41">
        <f>HYPERLINK("https://klasma.github.io/Logging_0381/klagomål/A 39623-2023 FSC-klagomål.docx", "A 39623-2023")</f>
        <v/>
      </c>
      <c r="W41">
        <f>HYPERLINK("https://klasma.github.io/Logging_0381/klagomålsmail/A 39623-2023 FSC-klagomål mail.docx", "A 39623-2023")</f>
        <v/>
      </c>
      <c r="X41">
        <f>HYPERLINK("https://klasma.github.io/Logging_0381/tillsyn/A 39623-2023 tillsynsbegäran.docx", "A 39623-2023")</f>
        <v/>
      </c>
      <c r="Y41">
        <f>HYPERLINK("https://klasma.github.io/Logging_0381/tillsynsmail/A 39623-2023 tillsynsbegäran mail.docx", "A 39623-2023")</f>
        <v/>
      </c>
    </row>
    <row r="42" ht="15" customHeight="1">
      <c r="A42" t="inlineStr">
        <is>
          <t>A 45116-2023</t>
        </is>
      </c>
      <c r="B42" s="1" t="n">
        <v>45191</v>
      </c>
      <c r="C42" s="1" t="n">
        <v>45741</v>
      </c>
      <c r="D42" t="inlineStr">
        <is>
          <t>UPPSALA LÄN</t>
        </is>
      </c>
      <c r="E42" t="inlineStr">
        <is>
          <t>ENKÖPING</t>
        </is>
      </c>
      <c r="G42" t="n">
        <v>2</v>
      </c>
      <c r="H42" t="n">
        <v>0</v>
      </c>
      <c r="I42" t="n">
        <v>1</v>
      </c>
      <c r="J42" t="n">
        <v>0</v>
      </c>
      <c r="K42" t="n">
        <v>0</v>
      </c>
      <c r="L42" t="n">
        <v>0</v>
      </c>
      <c r="M42" t="n">
        <v>0</v>
      </c>
      <c r="N42" t="n">
        <v>0</v>
      </c>
      <c r="O42" t="n">
        <v>0</v>
      </c>
      <c r="P42" t="n">
        <v>0</v>
      </c>
      <c r="Q42" t="n">
        <v>1</v>
      </c>
      <c r="R42" s="2" t="inlineStr">
        <is>
          <t>Rävticka</t>
        </is>
      </c>
      <c r="S42">
        <f>HYPERLINK("https://klasma.github.io/Logging_0381/artfynd/A 45116-2023 artfynd.xlsx", "A 45116-2023")</f>
        <v/>
      </c>
      <c r="T42">
        <f>HYPERLINK("https://klasma.github.io/Logging_0381/kartor/A 45116-2023 karta.png", "A 45116-2023")</f>
        <v/>
      </c>
      <c r="V42">
        <f>HYPERLINK("https://klasma.github.io/Logging_0381/klagomål/A 45116-2023 FSC-klagomål.docx", "A 45116-2023")</f>
        <v/>
      </c>
      <c r="W42">
        <f>HYPERLINK("https://klasma.github.io/Logging_0381/klagomålsmail/A 45116-2023 FSC-klagomål mail.docx", "A 45116-2023")</f>
        <v/>
      </c>
      <c r="X42">
        <f>HYPERLINK("https://klasma.github.io/Logging_0381/tillsyn/A 45116-2023 tillsynsbegäran.docx", "A 45116-2023")</f>
        <v/>
      </c>
      <c r="Y42">
        <f>HYPERLINK("https://klasma.github.io/Logging_0381/tillsynsmail/A 45116-2023 tillsynsbegäran mail.docx", "A 45116-2023")</f>
        <v/>
      </c>
    </row>
    <row r="43" ht="15" customHeight="1">
      <c r="A43" t="inlineStr">
        <is>
          <t>A 45617-2023</t>
        </is>
      </c>
      <c r="B43" s="1" t="n">
        <v>45194</v>
      </c>
      <c r="C43" s="1" t="n">
        <v>45741</v>
      </c>
      <c r="D43" t="inlineStr">
        <is>
          <t>UPPSALA LÄN</t>
        </is>
      </c>
      <c r="E43" t="inlineStr">
        <is>
          <t>ENKÖPING</t>
        </is>
      </c>
      <c r="G43" t="n">
        <v>2.9</v>
      </c>
      <c r="H43" t="n">
        <v>1</v>
      </c>
      <c r="I43" t="n">
        <v>0</v>
      </c>
      <c r="J43" t="n">
        <v>0</v>
      </c>
      <c r="K43" t="n">
        <v>1</v>
      </c>
      <c r="L43" t="n">
        <v>0</v>
      </c>
      <c r="M43" t="n">
        <v>0</v>
      </c>
      <c r="N43" t="n">
        <v>0</v>
      </c>
      <c r="O43" t="n">
        <v>1</v>
      </c>
      <c r="P43" t="n">
        <v>1</v>
      </c>
      <c r="Q43" t="n">
        <v>1</v>
      </c>
      <c r="R43" s="2" t="inlineStr">
        <is>
          <t>Knärot</t>
        </is>
      </c>
      <c r="S43">
        <f>HYPERLINK("https://klasma.github.io/Logging_0381/artfynd/A 45617-2023 artfynd.xlsx", "A 45617-2023")</f>
        <v/>
      </c>
      <c r="T43">
        <f>HYPERLINK("https://klasma.github.io/Logging_0381/kartor/A 45617-2023 karta.png", "A 45617-2023")</f>
        <v/>
      </c>
      <c r="U43">
        <f>HYPERLINK("https://klasma.github.io/Logging_0381/knärot/A 45617-2023 karta knärot.png", "A 45617-2023")</f>
        <v/>
      </c>
      <c r="V43">
        <f>HYPERLINK("https://klasma.github.io/Logging_0381/klagomål/A 45617-2023 FSC-klagomål.docx", "A 45617-2023")</f>
        <v/>
      </c>
      <c r="W43">
        <f>HYPERLINK("https://klasma.github.io/Logging_0381/klagomålsmail/A 45617-2023 FSC-klagomål mail.docx", "A 45617-2023")</f>
        <v/>
      </c>
      <c r="X43">
        <f>HYPERLINK("https://klasma.github.io/Logging_0381/tillsyn/A 45617-2023 tillsynsbegäran.docx", "A 45617-2023")</f>
        <v/>
      </c>
      <c r="Y43">
        <f>HYPERLINK("https://klasma.github.io/Logging_0381/tillsynsmail/A 45617-2023 tillsynsbegäran mail.docx", "A 45617-2023")</f>
        <v/>
      </c>
    </row>
    <row r="44" ht="15" customHeight="1">
      <c r="A44" t="inlineStr">
        <is>
          <t>A 51382-2023</t>
        </is>
      </c>
      <c r="B44" s="1" t="n">
        <v>45219</v>
      </c>
      <c r="C44" s="1" t="n">
        <v>45741</v>
      </c>
      <c r="D44" t="inlineStr">
        <is>
          <t>UPPSALA LÄN</t>
        </is>
      </c>
      <c r="E44" t="inlineStr">
        <is>
          <t>ENKÖPING</t>
        </is>
      </c>
      <c r="F44" t="inlineStr">
        <is>
          <t>Allmännings- och besparingsskogar</t>
        </is>
      </c>
      <c r="G44" t="n">
        <v>15.9</v>
      </c>
      <c r="H44" t="n">
        <v>0</v>
      </c>
      <c r="I44" t="n">
        <v>0</v>
      </c>
      <c r="J44" t="n">
        <v>1</v>
      </c>
      <c r="K44" t="n">
        <v>0</v>
      </c>
      <c r="L44" t="n">
        <v>0</v>
      </c>
      <c r="M44" t="n">
        <v>0</v>
      </c>
      <c r="N44" t="n">
        <v>0</v>
      </c>
      <c r="O44" t="n">
        <v>1</v>
      </c>
      <c r="P44" t="n">
        <v>0</v>
      </c>
      <c r="Q44" t="n">
        <v>1</v>
      </c>
      <c r="R44" s="2" t="inlineStr">
        <is>
          <t>Krusfrö</t>
        </is>
      </c>
      <c r="S44">
        <f>HYPERLINK("https://klasma.github.io/Logging_0381/artfynd/A 51382-2023 artfynd.xlsx", "A 51382-2023")</f>
        <v/>
      </c>
      <c r="T44">
        <f>HYPERLINK("https://klasma.github.io/Logging_0381/kartor/A 51382-2023 karta.png", "A 51382-2023")</f>
        <v/>
      </c>
      <c r="V44">
        <f>HYPERLINK("https://klasma.github.io/Logging_0381/klagomål/A 51382-2023 FSC-klagomål.docx", "A 51382-2023")</f>
        <v/>
      </c>
      <c r="W44">
        <f>HYPERLINK("https://klasma.github.io/Logging_0381/klagomålsmail/A 51382-2023 FSC-klagomål mail.docx", "A 51382-2023")</f>
        <v/>
      </c>
      <c r="X44">
        <f>HYPERLINK("https://klasma.github.io/Logging_0381/tillsyn/A 51382-2023 tillsynsbegäran.docx", "A 51382-2023")</f>
        <v/>
      </c>
      <c r="Y44">
        <f>HYPERLINK("https://klasma.github.io/Logging_0381/tillsynsmail/A 51382-2023 tillsynsbegäran mail.docx", "A 51382-2023")</f>
        <v/>
      </c>
    </row>
    <row r="45" ht="15" customHeight="1">
      <c r="A45" t="inlineStr">
        <is>
          <t>A 53342-2023</t>
        </is>
      </c>
      <c r="B45" s="1" t="n">
        <v>45229</v>
      </c>
      <c r="C45" s="1" t="n">
        <v>45741</v>
      </c>
      <c r="D45" t="inlineStr">
        <is>
          <t>UPPSALA LÄN</t>
        </is>
      </c>
      <c r="E45" t="inlineStr">
        <is>
          <t>ENKÖPING</t>
        </is>
      </c>
      <c r="G45" t="n">
        <v>28.8</v>
      </c>
      <c r="H45" t="n">
        <v>0</v>
      </c>
      <c r="I45" t="n">
        <v>0</v>
      </c>
      <c r="J45" t="n">
        <v>1</v>
      </c>
      <c r="K45" t="n">
        <v>0</v>
      </c>
      <c r="L45" t="n">
        <v>0</v>
      </c>
      <c r="M45" t="n">
        <v>0</v>
      </c>
      <c r="N45" t="n">
        <v>0</v>
      </c>
      <c r="O45" t="n">
        <v>1</v>
      </c>
      <c r="P45" t="n">
        <v>0</v>
      </c>
      <c r="Q45" t="n">
        <v>1</v>
      </c>
      <c r="R45" s="2" t="inlineStr">
        <is>
          <t>Tallticka</t>
        </is>
      </c>
      <c r="S45">
        <f>HYPERLINK("https://klasma.github.io/Logging_0381/artfynd/A 53342-2023 artfynd.xlsx", "A 53342-2023")</f>
        <v/>
      </c>
      <c r="T45">
        <f>HYPERLINK("https://klasma.github.io/Logging_0381/kartor/A 53342-2023 karta.png", "A 53342-2023")</f>
        <v/>
      </c>
      <c r="V45">
        <f>HYPERLINK("https://klasma.github.io/Logging_0381/klagomål/A 53342-2023 FSC-klagomål.docx", "A 53342-2023")</f>
        <v/>
      </c>
      <c r="W45">
        <f>HYPERLINK("https://klasma.github.io/Logging_0381/klagomålsmail/A 53342-2023 FSC-klagomål mail.docx", "A 53342-2023")</f>
        <v/>
      </c>
      <c r="X45">
        <f>HYPERLINK("https://klasma.github.io/Logging_0381/tillsyn/A 53342-2023 tillsynsbegäran.docx", "A 53342-2023")</f>
        <v/>
      </c>
      <c r="Y45">
        <f>HYPERLINK("https://klasma.github.io/Logging_0381/tillsynsmail/A 53342-2023 tillsynsbegäran mail.docx", "A 53342-2023")</f>
        <v/>
      </c>
    </row>
    <row r="46" ht="15" customHeight="1">
      <c r="A46" t="inlineStr">
        <is>
          <t>A 13255-2024</t>
        </is>
      </c>
      <c r="B46" s="1" t="n">
        <v>45386</v>
      </c>
      <c r="C46" s="1" t="n">
        <v>45741</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45741</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45741</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45741</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45741</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45741</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45741</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45741</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45741</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45741</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45741</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45741</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45741</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11018-2025</t>
        </is>
      </c>
      <c r="B59" s="1" t="n">
        <v>45723</v>
      </c>
      <c r="C59" s="1" t="n">
        <v>45741</v>
      </c>
      <c r="D59" t="inlineStr">
        <is>
          <t>UPPSALA LÄN</t>
        </is>
      </c>
      <c r="E59" t="inlineStr">
        <is>
          <t>ENKÖPING</t>
        </is>
      </c>
      <c r="G59" t="n">
        <v>1.6</v>
      </c>
      <c r="H59" t="n">
        <v>0</v>
      </c>
      <c r="I59" t="n">
        <v>0</v>
      </c>
      <c r="J59" t="n">
        <v>0</v>
      </c>
      <c r="K59" t="n">
        <v>0</v>
      </c>
      <c r="L59" t="n">
        <v>1</v>
      </c>
      <c r="M59" t="n">
        <v>0</v>
      </c>
      <c r="N59" t="n">
        <v>0</v>
      </c>
      <c r="O59" t="n">
        <v>1</v>
      </c>
      <c r="P59" t="n">
        <v>1</v>
      </c>
      <c r="Q59" t="n">
        <v>1</v>
      </c>
      <c r="R59" s="2" t="inlineStr">
        <is>
          <t>Ask</t>
        </is>
      </c>
      <c r="S59">
        <f>HYPERLINK("https://klasma.github.io/Logging_0381/artfynd/A 11018-2025 artfynd.xlsx", "A 11018-2025")</f>
        <v/>
      </c>
      <c r="T59">
        <f>HYPERLINK("https://klasma.github.io/Logging_0381/kartor/A 11018-2025 karta.png", "A 11018-2025")</f>
        <v/>
      </c>
      <c r="V59">
        <f>HYPERLINK("https://klasma.github.io/Logging_0381/klagomål/A 11018-2025 FSC-klagomål.docx", "A 11018-2025")</f>
        <v/>
      </c>
      <c r="W59">
        <f>HYPERLINK("https://klasma.github.io/Logging_0381/klagomålsmail/A 11018-2025 FSC-klagomål mail.docx", "A 11018-2025")</f>
        <v/>
      </c>
      <c r="X59">
        <f>HYPERLINK("https://klasma.github.io/Logging_0381/tillsyn/A 11018-2025 tillsynsbegäran.docx", "A 11018-2025")</f>
        <v/>
      </c>
      <c r="Y59">
        <f>HYPERLINK("https://klasma.github.io/Logging_0381/tillsynsmail/A 11018-2025 tillsynsbegäran mail.docx", "A 11018-2025")</f>
        <v/>
      </c>
    </row>
    <row r="60" ht="15" customHeight="1">
      <c r="A60" t="inlineStr">
        <is>
          <t>A 11015-2025</t>
        </is>
      </c>
      <c r="B60" s="1" t="n">
        <v>45723</v>
      </c>
      <c r="C60" s="1" t="n">
        <v>45741</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HYPERLINK("https://klasma.github.io/Logging_0381/artfynd/A 11015-2025 artfynd.xlsx", "A 11015-2025")</f>
        <v/>
      </c>
      <c r="T60">
        <f>HYPERLINK("https://klasma.github.io/Logging_0381/kartor/A 11015-2025 karta.png", "A 11015-2025")</f>
        <v/>
      </c>
      <c r="V60">
        <f>HYPERLINK("https://klasma.github.io/Logging_0381/klagomål/A 11015-2025 FSC-klagomål.docx", "A 11015-2025")</f>
        <v/>
      </c>
      <c r="W60">
        <f>HYPERLINK("https://klasma.github.io/Logging_0381/klagomålsmail/A 11015-2025 FSC-klagomål mail.docx", "A 11015-2025")</f>
        <v/>
      </c>
      <c r="X60">
        <f>HYPERLINK("https://klasma.github.io/Logging_0381/tillsyn/A 11015-2025 tillsynsbegäran.docx", "A 11015-2025")</f>
        <v/>
      </c>
      <c r="Y60">
        <f>HYPERLINK("https://klasma.github.io/Logging_0381/tillsynsmail/A 11015-2025 tillsynsbegäran mail.docx", "A 11015-2025")</f>
        <v/>
      </c>
    </row>
    <row r="61" ht="15" customHeight="1">
      <c r="A61" t="inlineStr">
        <is>
          <t>A 18148-2019</t>
        </is>
      </c>
      <c r="B61" s="1" t="n">
        <v>43558</v>
      </c>
      <c r="C61" s="1" t="n">
        <v>45741</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45741</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45741</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45741</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45741</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45741</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45741</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45741</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45741</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45741</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45741</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45741</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45741</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45741</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45741</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45741</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45741</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45741</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45741</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45741</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45741</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45741</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45741</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45741</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45741</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45741</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45741</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45741</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45741</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45741</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45741</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45741</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45741</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45741</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45741</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45741</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45741</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45741</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45741</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45741</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45741</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45741</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45741</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45741</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45741</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45741</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45741</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45741</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45741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45741</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45741</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45741</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45741</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45741</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45741</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45741</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45741</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45741</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45741</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45741</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45741</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45741</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45741</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45741</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45741</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45741</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45741</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45741</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45741</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45741</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45741</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45741</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45741</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45741</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45741</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45741</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45741</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45741</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45741</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45741</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45741</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45741</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45741</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45741</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45741</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45741</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45741</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45741</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45741</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45741</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45741</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45741</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45741</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45741</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45741</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45741</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45741</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45741</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45741</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45741</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45741</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45741</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45741</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45741</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45741</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45741</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45741</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45741</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45741</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45741</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45741</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45741</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45741</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45741</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45741</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45741</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45741</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45741</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45741</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45741</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45741</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45741</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45741</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45741</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45741</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45741</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45741</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45741</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45741</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45741</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45741</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45741</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45741</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45741</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45741</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45741</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45741</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45741</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45741</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45741</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45741</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45741</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45741</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45741</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45741</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45741</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45741</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45741</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45741</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45741</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45741</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45741</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45741</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45741</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45741</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45741</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45741</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45741</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45741</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45741</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45741</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45741</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45741</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45741</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45741</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45741</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45741</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45741</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45741</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45741</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45741</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45741</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45741</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45741</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45741</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45741</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45741</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45741</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45741</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45741</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45741</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45741</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45741</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45741</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45741</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45741</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45741</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45741</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45741</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45741</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45741</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45741</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45741</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45741</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45741</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45741</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45741</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45741</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45741</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45741</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45741</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45741</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45741</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45741</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45741</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45741</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45741</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45741</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45741</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45741</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45741</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45741</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45741</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45741</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45741</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45741</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45741</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45741</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45741</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45741</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45741</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45741</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45741</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45741</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45741</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45741</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45741</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45741</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45741</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45741</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45741</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45741</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45741</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45741</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45741</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45741</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45741</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45741</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45741</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45741</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45741</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45741</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45741</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45741</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45741</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45741</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45741</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45741</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45741</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45741</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45741</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45741</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45741</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45741</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45741</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45741</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45741</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45741</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45741</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45741</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45741</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45741</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45741</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45741</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45741</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45741</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45741</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45741</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45741</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45741</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45741</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45741</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45741</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45741</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45741</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45741</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45741</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45741</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45741</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45741</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45741</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45741</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45741</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45741</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45741</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45741</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45741</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45741</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45741</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45741</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45741</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45741</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45741</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45741</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45741</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45741</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45741</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45741</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45741</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45741</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45741</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45741</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45741</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45741</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45741</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45741</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45741</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45741</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45741</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45741</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45741</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45741</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45741</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45741</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45741</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45741</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45741</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45741</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45741</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45741</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45741</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45741</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45741</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45741</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45741</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45741</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45741</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45741</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45741</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45741</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45741</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45741</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45741</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45741</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45741</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45741</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45741</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45741</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45741</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45741</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45741</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45741</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45741</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45741</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45741</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45741</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45741</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45741</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45741</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45741</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45741</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45741</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45741</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45741</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45741</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45741</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45741</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45741</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45741</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45741</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45741</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45741</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45741</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45741</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45741</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45741</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45741</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45741</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45741</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45741</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45741</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45741</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45741</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45741</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45741</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45741</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45741</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45741</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45741</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45741</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45741</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45741</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45741</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45741</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45741</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45741</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45741</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45741</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45741</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45741</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45741</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45741</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45741</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45741</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45741</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45741</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45741</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45741</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45741</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45741</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45741</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45741</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45741</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45741</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45741</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45741</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45741</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45741</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45741</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45741</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45741</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45741</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45741</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45741</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45741</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45741</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45741</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45741</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45741</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45741</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45741</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45741</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45741</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45741</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45741</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45741</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45741</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45741</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45741</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45741</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45741</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45741</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45741</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45741</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45741</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45741</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45741</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45741</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45741</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45741</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45741</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45741</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45741</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45741</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45741</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45741</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45741</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45741</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45741</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45741</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45741</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45741</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45741</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45741</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45741</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45741</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45741</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45741</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45741</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45741</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45741</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45741</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45741</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45741</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45741</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45741</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45741</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45741</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45741</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45741</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45741</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45741</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45741</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45741</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45741</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45741</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45741</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45741</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45741</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45741</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45741</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45741</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45741</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45741</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45741</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45741</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45741</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45741</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45741</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45741</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45741</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45741</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45741</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45741</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45741</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45741</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45741</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45741</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45741</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45741</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45741</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45741</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45741</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45741</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45741</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45741</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45741</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45741</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45741</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45741</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45741</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45741</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45741</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45741</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45741</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45741</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45741</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45741</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45741</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45741</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45741</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45741</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45741</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45741</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45741</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45741</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45741</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45741</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45741</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45741</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45741</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45741</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45741</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45741</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45741</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45741</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45741</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45741</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45741</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45741</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45741</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45741</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45741</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45741</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45741</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45741</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45741</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45741</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45741</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45741</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45741</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45741</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45741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45741</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45741</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45741</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45741</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45741</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45741</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45741</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45741</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45741</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45741</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45741</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45741</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45741</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45741</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45741</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45741</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45741</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45741</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45741</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45741</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45741</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45741</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45741</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45741</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45741</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45741</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45741</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45741</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45741</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45741</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45741</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45741</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45741</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45741</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45741</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45741</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45741</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45741</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45741</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45741</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45741</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45741</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45741</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45741</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45741</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45741</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45741</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45741</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45741</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45741</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45741</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45741</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45741</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45741</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45741</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45741</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45741</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45741</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45741</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45741</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45741</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45741</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45741</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45741</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45741</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45741</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45741</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45741</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45741</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45741</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45741</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45741</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45741</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45741</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45741</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45741</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45741</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45741</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45741</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45741</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45741</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45741</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45741</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45741</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45741</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45741</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45741</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45741</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45741</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45741</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45741</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45741</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45741</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45741</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45741</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45741</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45741</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45741</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45741</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45741</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45741</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45741</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45741</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45741</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45741</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45741</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45741</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45741</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45741</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45741</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45741</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45741</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45741</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45741</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45741</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45741</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45741</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45741</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45741</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45741</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45741</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45741</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45741</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45741</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45741</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45741</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45741</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45741</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45741</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45741</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45741</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45741</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45741</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45741</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45741</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45741</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45741</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45741</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45741</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45741</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45741</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45741</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45741</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45741</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45741</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45741</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45741</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45741</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45741</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45741</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45741</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45741</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45741</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45741</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45741</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45741</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45741</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45741</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45741</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45741</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45741</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45741</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45741</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45741</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45741</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45741</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45741</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45741</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45741</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45741</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45741</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45741</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45741</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45741</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45741</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45741</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45741</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45741</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45741</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45741</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45741</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45741</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45741</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45741</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45741</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45741</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45741</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45741</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45741</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45741</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45741</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45741</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45741</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45741</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45741</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45741</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45741</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45741</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45741</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45741</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45741</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45741</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45741</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45741</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45741</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45741</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45741</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45741</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45741</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45741</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45741</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45741</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45741</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45741</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45741</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45741</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45741</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45741</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45741</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45741</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45741</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45741</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45741</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45741</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45741</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45741</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45741</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45741</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45741</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45741</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45741</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45741</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45741</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45741</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45741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45741</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45741</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45741</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45741</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45741</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45741</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45741</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45741</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45741</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45741</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45741</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45741</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45741</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45741</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45741</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45741</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45741</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45741</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45741</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45741</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45741</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45741</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45741</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45741</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45741</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45741</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45741</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45741</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45741</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45741</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45741</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45741</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45741</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45741</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45741</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45741</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45741</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45741</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45741</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45741</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45741</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45741</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45741</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45741</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45741</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45741</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45741</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45741</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45741</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45741</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45741</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45741</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45741</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45741</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45741</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45741</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45741</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45741</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45741</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45741</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45741</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45741</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45741</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45741</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45741</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45741</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45741</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45741</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45741</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45741</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45741</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9490-2025</t>
        </is>
      </c>
      <c r="B920" s="1" t="n">
        <v>45715</v>
      </c>
      <c r="C920" s="1" t="n">
        <v>45741</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9493-2025</t>
        </is>
      </c>
      <c r="B921" s="1" t="n">
        <v>45715</v>
      </c>
      <c r="C921" s="1" t="n">
        <v>45741</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9656-2025</t>
        </is>
      </c>
      <c r="B922" s="1" t="n">
        <v>45716</v>
      </c>
      <c r="C922" s="1" t="n">
        <v>45741</v>
      </c>
      <c r="D922" t="inlineStr">
        <is>
          <t>UPPSALA LÄN</t>
        </is>
      </c>
      <c r="E922" t="inlineStr">
        <is>
          <t>ENKÖPING</t>
        </is>
      </c>
      <c r="G922" t="n">
        <v>3.6</v>
      </c>
      <c r="H922" t="n">
        <v>0</v>
      </c>
      <c r="I922" t="n">
        <v>0</v>
      </c>
      <c r="J922" t="n">
        <v>0</v>
      </c>
      <c r="K922" t="n">
        <v>0</v>
      </c>
      <c r="L922" t="n">
        <v>0</v>
      </c>
      <c r="M922" t="n">
        <v>0</v>
      </c>
      <c r="N922" t="n">
        <v>0</v>
      </c>
      <c r="O922" t="n">
        <v>0</v>
      </c>
      <c r="P922" t="n">
        <v>0</v>
      </c>
      <c r="Q922" t="n">
        <v>0</v>
      </c>
      <c r="R922" s="2" t="inlineStr"/>
    </row>
    <row r="923" ht="15" customHeight="1">
      <c r="A923" t="inlineStr">
        <is>
          <t>A 9660-2025</t>
        </is>
      </c>
      <c r="B923" s="1" t="n">
        <v>45716</v>
      </c>
      <c r="C923" s="1" t="n">
        <v>45741</v>
      </c>
      <c r="D923" t="inlineStr">
        <is>
          <t>UPPSALA LÄN</t>
        </is>
      </c>
      <c r="E923" t="inlineStr">
        <is>
          <t>ENKÖPING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9658-2025</t>
        </is>
      </c>
      <c r="B924" s="1" t="n">
        <v>45716</v>
      </c>
      <c r="C924" s="1" t="n">
        <v>45741</v>
      </c>
      <c r="D924" t="inlineStr">
        <is>
          <t>UPPSALA LÄN</t>
        </is>
      </c>
      <c r="E924" t="inlineStr">
        <is>
          <t>ENKÖPING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9662-2025</t>
        </is>
      </c>
      <c r="B925" s="1" t="n">
        <v>45716</v>
      </c>
      <c r="C925" s="1" t="n">
        <v>45741</v>
      </c>
      <c r="D925" t="inlineStr">
        <is>
          <t>UPPSALA LÄN</t>
        </is>
      </c>
      <c r="E925" t="inlineStr">
        <is>
          <t>ENKÖPING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45741</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45741</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45741</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45741</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45741</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11627-2025</t>
        </is>
      </c>
      <c r="B931" s="1" t="n">
        <v>45727</v>
      </c>
      <c r="C931" s="1" t="n">
        <v>45741</v>
      </c>
      <c r="D931" t="inlineStr">
        <is>
          <t>UPPSALA LÄN</t>
        </is>
      </c>
      <c r="E931" t="inlineStr">
        <is>
          <t>ENKÖPING</t>
        </is>
      </c>
      <c r="G931" t="n">
        <v>5.5</v>
      </c>
      <c r="H931" t="n">
        <v>0</v>
      </c>
      <c r="I931" t="n">
        <v>0</v>
      </c>
      <c r="J931" t="n">
        <v>0</v>
      </c>
      <c r="K931" t="n">
        <v>0</v>
      </c>
      <c r="L931" t="n">
        <v>0</v>
      </c>
      <c r="M931" t="n">
        <v>0</v>
      </c>
      <c r="N931" t="n">
        <v>0</v>
      </c>
      <c r="O931" t="n">
        <v>0</v>
      </c>
      <c r="P931" t="n">
        <v>0</v>
      </c>
      <c r="Q931" t="n">
        <v>0</v>
      </c>
      <c r="R931" s="2" t="inlineStr"/>
    </row>
    <row r="932" ht="15" customHeight="1">
      <c r="A932" t="inlineStr">
        <is>
          <t>A 11604-2025</t>
        </is>
      </c>
      <c r="B932" s="1" t="n">
        <v>45727</v>
      </c>
      <c r="C932" s="1" t="n">
        <v>45741</v>
      </c>
      <c r="D932" t="inlineStr">
        <is>
          <t>UPPSALA LÄN</t>
        </is>
      </c>
      <c r="E932" t="inlineStr">
        <is>
          <t>ENKÖPING</t>
        </is>
      </c>
      <c r="G932" t="n">
        <v>3.3</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45741</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45741</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12878-2025</t>
        </is>
      </c>
      <c r="B935" s="1" t="n">
        <v>45733</v>
      </c>
      <c r="C935" s="1" t="n">
        <v>45741</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12755-2025</t>
        </is>
      </c>
      <c r="B936" s="1" t="n">
        <v>45733</v>
      </c>
      <c r="C936" s="1" t="n">
        <v>45741</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14083-2025</t>
        </is>
      </c>
      <c r="B937" s="1" t="n">
        <v>45740</v>
      </c>
      <c r="C937" s="1" t="n">
        <v>45741</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14104-2025</t>
        </is>
      </c>
      <c r="B938" s="1" t="n">
        <v>45740</v>
      </c>
      <c r="C938" s="1" t="n">
        <v>45741</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c r="A939" t="inlineStr">
        <is>
          <t>A 14243-2025</t>
        </is>
      </c>
      <c r="B939" s="1" t="n">
        <v>45740</v>
      </c>
      <c r="C939" s="1" t="n">
        <v>45741</v>
      </c>
      <c r="D939" t="inlineStr">
        <is>
          <t>UPPSALA LÄN</t>
        </is>
      </c>
      <c r="E939" t="inlineStr">
        <is>
          <t>ENKÖPING</t>
        </is>
      </c>
      <c r="G939" t="n">
        <v>2.2</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2025-03-25T17:51:12Z</dcterms:created>
  <dcterms:modified xmlns:dcterms="http://purl.org/dc/terms/" xmlns:xsi="http://www.w3.org/2001/XMLSchema-instance" xsi:type="dcterms:W3CDTF">2025-03-25T17:51:13Z</dcterms:modified>
</cp:coreProperties>
</file>