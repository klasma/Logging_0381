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46261</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46261</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46261</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46261</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46261</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46261</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46261</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46261</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46261</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14229-2026</t>
        </is>
      </c>
      <c r="B17" t="inlineStr">
        <is>
          <t>avverkningsanmälan</t>
        </is>
      </c>
      <c r="C17" t="inlineStr">
        <is>
          <t>Avverkning för annat ändamål</t>
        </is>
      </c>
      <c r="D17" s="1" t="n">
        <v>46099</v>
      </c>
      <c r="E17" s="1" t="n">
        <v>46261</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A 52092-2022</t>
        </is>
      </c>
      <c r="B18" t="inlineStr">
        <is>
          <t>avverkningsanmälan</t>
        </is>
      </c>
      <c r="C18" t="inlineStr">
        <is>
          <t>Föryngringsavverkning</t>
        </is>
      </c>
      <c r="D18" s="1" t="n">
        <v>44873</v>
      </c>
      <c r="E18" s="1" t="n">
        <v>46261</v>
      </c>
      <c r="F18" t="inlineStr">
        <is>
          <t>UPPSALA LÄN</t>
        </is>
      </c>
      <c r="G18" t="inlineStr">
        <is>
          <t>ENKÖPING</t>
        </is>
      </c>
      <c r="I18" t="n">
        <v>2.4</v>
      </c>
      <c r="J18" t="n">
        <v>1</v>
      </c>
      <c r="K18" t="n">
        <v>0</v>
      </c>
      <c r="L18" t="n">
        <v>2</v>
      </c>
      <c r="M18" t="n">
        <v>0</v>
      </c>
      <c r="N18" t="n">
        <v>1</v>
      </c>
      <c r="O18" t="n">
        <v>0</v>
      </c>
      <c r="P18" t="n">
        <v>0</v>
      </c>
      <c r="Q18" t="n">
        <v>3</v>
      </c>
      <c r="R18" t="n">
        <v>1</v>
      </c>
      <c r="S18" t="n">
        <v>3</v>
      </c>
      <c r="T18" t="n">
        <v>6</v>
      </c>
      <c r="U18" t="n">
        <v>0</v>
      </c>
      <c r="V18" s="2" t="inlineStr">
        <is>
          <t>Bombmurkla
Fyrflikig jordstjärna
Ullticka</t>
        </is>
      </c>
      <c r="W18">
        <f>HYPERLINK("https://klasma.github.io/Logging_0381/artfynd/A 52092-2022 artfynd.xlsx", "A 52092-2022")</f>
        <v/>
      </c>
      <c r="X18">
        <f>HYPERLINK("https://klasma.github.io/Logging_0381/kartor/A 52092-2022 karta.png", "A 52092-2022")</f>
        <v/>
      </c>
      <c r="Y18">
        <f>HYPERLINK("https://klasma.github.io/Logging_0381/kartor_geotiff/A 52092-2022 georefererad karta.tif", "A 52092-2022")</f>
        <v/>
      </c>
      <c r="AA18">
        <f>HYPERLINK("https://klasma.github.io/Logging_0381/klagomål/A 52092-2022 FSC-klagomål.docx", "A 52092-2022")</f>
        <v/>
      </c>
      <c r="AB18">
        <f>HYPERLINK("https://klasma.github.io/Logging_0381/klagomålsmail/A 52092-2022 FSC-klagomål mail.docx", "A 52092-2022")</f>
        <v/>
      </c>
      <c r="AC18">
        <f>HYPERLINK("https://klasma.github.io/Logging_0381/tillsyn/A 52092-2022 tillsynsbegäran.docx", "A 52092-2022")</f>
        <v/>
      </c>
      <c r="AD18">
        <f>HYPERLINK("https://klasma.github.io/Logging_0381/tillsynsmail/A 52092-2022 tillsynsbegäran mail.docx", "A 52092-2022")</f>
        <v/>
      </c>
    </row>
    <row r="19" ht="15" customHeight="1">
      <c r="A19" t="inlineStr">
        <is>
          <t>A 53208-2023</t>
        </is>
      </c>
      <c r="B19" t="inlineStr">
        <is>
          <t>avverkningsanmälan</t>
        </is>
      </c>
      <c r="C19" t="inlineStr">
        <is>
          <t>Avverkning för annat ändamål</t>
        </is>
      </c>
      <c r="D19" s="1" t="n">
        <v>45226</v>
      </c>
      <c r="E19" s="1" t="n">
        <v>46261</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50105-2023</t>
        </is>
      </c>
      <c r="B20" t="inlineStr">
        <is>
          <t>avverkningsanmälan</t>
        </is>
      </c>
      <c r="C20" t="inlineStr">
        <is>
          <t>Föryngringsavverkning</t>
        </is>
      </c>
      <c r="D20" s="1" t="n">
        <v>45215</v>
      </c>
      <c r="E20" s="1" t="n">
        <v>46261</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S 4995-2024</t>
        </is>
      </c>
      <c r="B21" t="inlineStr">
        <is>
          <t>samrådsanmälan</t>
        </is>
      </c>
      <c r="C21" t="inlineStr">
        <is>
          <t>Annan skogsbruksåtgärd</t>
        </is>
      </c>
      <c r="D21" s="1" t="n">
        <v>45631</v>
      </c>
      <c r="E21" s="1" t="n">
        <v>46261</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46261</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46103-2023</t>
        </is>
      </c>
      <c r="B23" t="inlineStr">
        <is>
          <t>avverkningsanmälan</t>
        </is>
      </c>
      <c r="C23" t="inlineStr">
        <is>
          <t>Föryngringsavverkning</t>
        </is>
      </c>
      <c r="D23" s="1" t="n">
        <v>45190</v>
      </c>
      <c r="E23" s="1" t="n">
        <v>46261</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9147-2026</t>
        </is>
      </c>
      <c r="B24" t="inlineStr">
        <is>
          <t>avverkningsanmälan</t>
        </is>
      </c>
      <c r="C24" t="inlineStr">
        <is>
          <t>Föryngringsavverkning</t>
        </is>
      </c>
      <c r="D24" s="1" t="n">
        <v>46070</v>
      </c>
      <c r="E24" s="1" t="n">
        <v>46261</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29510-2025</t>
        </is>
      </c>
      <c r="B25" t="inlineStr">
        <is>
          <t>avverkningsanmälan</t>
        </is>
      </c>
      <c r="C25" t="inlineStr">
        <is>
          <t>Föryngringsavverkning</t>
        </is>
      </c>
      <c r="D25" s="1" t="n">
        <v>45825</v>
      </c>
      <c r="E25" s="1" t="n">
        <v>46261</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46261</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18302-2025</t>
        </is>
      </c>
      <c r="B27" t="inlineStr">
        <is>
          <t>avverkningsanmälan</t>
        </is>
      </c>
      <c r="C27" t="inlineStr">
        <is>
          <t>Föryngringsavverkning</t>
        </is>
      </c>
      <c r="D27" s="1" t="n">
        <v>45762</v>
      </c>
      <c r="E27" s="1" t="n">
        <v>46261</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46261</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17729-2023</t>
        </is>
      </c>
      <c r="B29" t="inlineStr">
        <is>
          <t>avverkningsanmälan</t>
        </is>
      </c>
      <c r="C29" t="inlineStr">
        <is>
          <t>Föryngringsavverkning</t>
        </is>
      </c>
      <c r="D29" s="1" t="n">
        <v>45037</v>
      </c>
      <c r="E29" s="1" t="n">
        <v>46261</v>
      </c>
      <c r="F29" t="inlineStr">
        <is>
          <t>UPPSALA LÄN</t>
        </is>
      </c>
      <c r="G29" t="inlineStr">
        <is>
          <t>ENKÖPING</t>
        </is>
      </c>
      <c r="I29" t="n">
        <v>10.2</v>
      </c>
      <c r="J29" t="n">
        <v>1</v>
      </c>
      <c r="K29" t="n">
        <v>0</v>
      </c>
      <c r="L29" t="n">
        <v>0</v>
      </c>
      <c r="M29" t="n">
        <v>1</v>
      </c>
      <c r="N29" t="n">
        <v>0</v>
      </c>
      <c r="O29" t="n">
        <v>0</v>
      </c>
      <c r="P29" t="n">
        <v>0</v>
      </c>
      <c r="Q29" t="n">
        <v>1</v>
      </c>
      <c r="R29" t="n">
        <v>1</v>
      </c>
      <c r="S29" t="n">
        <v>1</v>
      </c>
      <c r="T29" t="n">
        <v>1</v>
      </c>
      <c r="U29" t="n">
        <v>1</v>
      </c>
      <c r="V29" s="2" t="inlineStr">
        <is>
          <t>Pilgrimsfalk</t>
        </is>
      </c>
      <c r="W29">
        <f>HYPERLINK("https://klasma.github.io/Logging_0381/artfynd/A 17729-2023 artfynd.xlsx", "A 17729-2023")</f>
        <v/>
      </c>
      <c r="X29">
        <f>HYPERLINK("https://klasma.github.io/Logging_0381/kartor/A 17729-2023 karta.png", "A 17729-2023")</f>
        <v/>
      </c>
      <c r="Y29">
        <f>HYPERLINK("https://klasma.github.io/Logging_0381/kartor_geotiff/A 17729-2023 georefererad karta.tif", "A 17729-2023")</f>
        <v/>
      </c>
      <c r="AA29">
        <f>HYPERLINK("https://klasma.github.io/Logging_0381/klagomål/A 17729-2023 FSC-klagomål.docx", "A 17729-2023")</f>
        <v/>
      </c>
      <c r="AB29">
        <f>HYPERLINK("https://klasma.github.io/Logging_0381/klagomålsmail/A 17729-2023 FSC-klagomål mail.docx", "A 17729-2023")</f>
        <v/>
      </c>
      <c r="AC29">
        <f>HYPERLINK("https://klasma.github.io/Logging_0381/tillsyn/A 17729-2023 tillsynsbegäran.docx", "A 17729-2023")</f>
        <v/>
      </c>
      <c r="AD29">
        <f>HYPERLINK("https://klasma.github.io/Logging_0381/tillsynsmail/A 17729-2023 tillsynsbegäran mail.docx", "A 17729-2023")</f>
        <v/>
      </c>
      <c r="AE29">
        <f>HYPERLINK("https://klasma.github.io/Logging_0381/fåglar/A 17729-2023 prioriterade fågelarter.docx", "A 17729-2023")</f>
        <v/>
      </c>
    </row>
    <row r="30" ht="15" customHeight="1">
      <c r="A30" t="inlineStr">
        <is>
          <t>A 60289-2022</t>
        </is>
      </c>
      <c r="B30" t="inlineStr">
        <is>
          <t>avverkningsanmälan</t>
        </is>
      </c>
      <c r="C30" t="inlineStr">
        <is>
          <t>Föryngringsavverkning</t>
        </is>
      </c>
      <c r="D30" s="1" t="n">
        <v>44910</v>
      </c>
      <c r="E30" s="1" t="n">
        <v>46261</v>
      </c>
      <c r="F30" t="inlineStr">
        <is>
          <t>UPPSALA LÄN</t>
        </is>
      </c>
      <c r="G30" t="inlineStr">
        <is>
          <t>ENKÖPING</t>
        </is>
      </c>
      <c r="I30" t="n">
        <v>3.2</v>
      </c>
      <c r="J30" t="n">
        <v>0</v>
      </c>
      <c r="K30" t="n">
        <v>1</v>
      </c>
      <c r="L30" t="n">
        <v>0</v>
      </c>
      <c r="M30" t="n">
        <v>0</v>
      </c>
      <c r="N30" t="n">
        <v>0</v>
      </c>
      <c r="O30" t="n">
        <v>0</v>
      </c>
      <c r="P30" t="n">
        <v>0</v>
      </c>
      <c r="Q30" t="n">
        <v>0</v>
      </c>
      <c r="R30" t="n">
        <v>0</v>
      </c>
      <c r="S30" t="n">
        <v>1</v>
      </c>
      <c r="T30" t="n">
        <v>3</v>
      </c>
      <c r="U30" t="n">
        <v>0</v>
      </c>
      <c r="V30" s="2" t="inlineStr">
        <is>
          <t>Mindre märgborre</t>
        </is>
      </c>
      <c r="W30">
        <f>HYPERLINK("https://klasma.github.io/Logging_0381/artfynd/A 60289-2022 artfynd.xlsx", "A 60289-2022")</f>
        <v/>
      </c>
      <c r="X30">
        <f>HYPERLINK("https://klasma.github.io/Logging_0381/kartor/A 60289-2022 karta.png", "A 60289-2022")</f>
        <v/>
      </c>
      <c r="Y30">
        <f>HYPERLINK("https://klasma.github.io/Logging_0381/kartor_geotiff/A 60289-2022 georefererad karta.tif", "A 60289-2022")</f>
        <v/>
      </c>
      <c r="AA30">
        <f>HYPERLINK("https://klasma.github.io/Logging_0381/klagomål/A 60289-2022 FSC-klagomål.docx", "A 60289-2022")</f>
        <v/>
      </c>
      <c r="AB30">
        <f>HYPERLINK("https://klasma.github.io/Logging_0381/klagomålsmail/A 60289-2022 FSC-klagomål mail.docx", "A 60289-2022")</f>
        <v/>
      </c>
      <c r="AC30">
        <f>HYPERLINK("https://klasma.github.io/Logging_0381/tillsyn/A 60289-2022 tillsynsbegäran.docx", "A 60289-2022")</f>
        <v/>
      </c>
      <c r="AD30">
        <f>HYPERLINK("https://klasma.github.io/Logging_0381/tillsynsmail/A 60289-2022 tillsynsbegäran mail.docx", "A 60289-2022")</f>
        <v/>
      </c>
    </row>
    <row r="31" ht="15" customHeight="1">
      <c r="A31" t="inlineStr">
        <is>
          <t>A 4166-2026</t>
        </is>
      </c>
      <c r="B31" t="inlineStr">
        <is>
          <t>avverkningsanmälan</t>
        </is>
      </c>
      <c r="C31" t="inlineStr">
        <is>
          <t>Föryngringsavverkning</t>
        </is>
      </c>
      <c r="D31" s="1" t="n">
        <v>46044</v>
      </c>
      <c r="E31" s="1" t="n">
        <v>46261</v>
      </c>
      <c r="F31" t="inlineStr">
        <is>
          <t>UPPSALA LÄN</t>
        </is>
      </c>
      <c r="G31" t="inlineStr">
        <is>
          <t>ENKÖPING</t>
        </is>
      </c>
      <c r="I31" t="n">
        <v>1.7</v>
      </c>
      <c r="J31" t="n">
        <v>1</v>
      </c>
      <c r="K31" t="n">
        <v>0</v>
      </c>
      <c r="L31" t="n">
        <v>1</v>
      </c>
      <c r="M31" t="n">
        <v>0</v>
      </c>
      <c r="N31" t="n">
        <v>0</v>
      </c>
      <c r="O31" t="n">
        <v>0</v>
      </c>
      <c r="P31" t="n">
        <v>0</v>
      </c>
      <c r="Q31" t="n">
        <v>1</v>
      </c>
      <c r="R31" t="n">
        <v>0</v>
      </c>
      <c r="S31" t="n">
        <v>1</v>
      </c>
      <c r="T31" t="n">
        <v>1</v>
      </c>
      <c r="U31" t="n">
        <v>0</v>
      </c>
      <c r="V31" s="2" t="inlineStr">
        <is>
          <t>Gulsparv</t>
        </is>
      </c>
      <c r="W31">
        <f>HYPERLINK("https://klasma.github.io/Logging_0381/artfynd/A 4166-2026 artfynd.xlsx", "A 4166-2026")</f>
        <v/>
      </c>
      <c r="X31">
        <f>HYPERLINK("https://klasma.github.io/Logging_0381/kartor/A 4166-2026 karta.png", "A 4166-2026")</f>
        <v/>
      </c>
      <c r="Y31">
        <f>HYPERLINK("https://klasma.github.io/Logging_0381/kartor_geotiff/A 4166-2026 georefererad karta.tif", "A 4166-2026")</f>
        <v/>
      </c>
      <c r="AA31">
        <f>HYPERLINK("https://klasma.github.io/Logging_0381/klagomål/A 4166-2026 FSC-klagomål.docx", "A 4166-2026")</f>
        <v/>
      </c>
      <c r="AB31">
        <f>HYPERLINK("https://klasma.github.io/Logging_0381/klagomålsmail/A 4166-2026 FSC-klagomål mail.docx", "A 4166-2026")</f>
        <v/>
      </c>
      <c r="AC31">
        <f>HYPERLINK("https://klasma.github.io/Logging_0381/tillsyn/A 4166-2026 tillsynsbegäran.docx", "A 4166-2026")</f>
        <v/>
      </c>
      <c r="AD31">
        <f>HYPERLINK("https://klasma.github.io/Logging_0381/tillsynsmail/A 4166-2026 tillsynsbegäran mail.docx", "A 4166-2026")</f>
        <v/>
      </c>
      <c r="AE31">
        <f>HYPERLINK("https://klasma.github.io/Logging_0381/fåglar/A 4166-2026 prioriterade fågelarter.docx", "A 4166-2026")</f>
        <v/>
      </c>
    </row>
    <row r="32" ht="15" customHeight="1">
      <c r="A32" t="inlineStr">
        <is>
          <t>A 60174-2025</t>
        </is>
      </c>
      <c r="B32" t="inlineStr">
        <is>
          <t>avverkningsanmälan</t>
        </is>
      </c>
      <c r="C32" t="inlineStr">
        <is>
          <t>Föryngringsavverkning</t>
        </is>
      </c>
      <c r="D32" s="1" t="n">
        <v>45994</v>
      </c>
      <c r="E32" s="1" t="n">
        <v>46261</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46261</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23961-2022</t>
        </is>
      </c>
      <c r="B34" t="inlineStr">
        <is>
          <t>avverkningsanmälan</t>
        </is>
      </c>
      <c r="C34" t="inlineStr">
        <is>
          <t>Föryngringsavverkning</t>
        </is>
      </c>
      <c r="D34" s="1" t="n">
        <v>44722</v>
      </c>
      <c r="E34" s="1" t="n">
        <v>46261</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46261</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1524-2023</t>
        </is>
      </c>
      <c r="B36" t="inlineStr">
        <is>
          <t>avverkningsanmälan</t>
        </is>
      </c>
      <c r="C36" t="inlineStr">
        <is>
          <t>Föryngringsavverkning</t>
        </is>
      </c>
      <c r="D36" s="1" t="n">
        <v>44935</v>
      </c>
      <c r="E36" s="1" t="n">
        <v>46261</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6242-2025</t>
        </is>
      </c>
      <c r="B37" t="inlineStr">
        <is>
          <t>avverkningsanmälan</t>
        </is>
      </c>
      <c r="C37" t="inlineStr">
        <is>
          <t>Föryngringsavverkning</t>
        </is>
      </c>
      <c r="D37" s="1" t="n">
        <v>45697</v>
      </c>
      <c r="E37" s="1" t="n">
        <v>46261</v>
      </c>
      <c r="F37" t="inlineStr">
        <is>
          <t>UPPSALA LÄN</t>
        </is>
      </c>
      <c r="G37" t="inlineStr">
        <is>
          <t>ENKÖPING</t>
        </is>
      </c>
      <c r="I37" t="n">
        <v>17.9</v>
      </c>
      <c r="J37" t="n">
        <v>0</v>
      </c>
      <c r="K37" t="n">
        <v>0</v>
      </c>
      <c r="L37" t="n">
        <v>0</v>
      </c>
      <c r="M37" t="n">
        <v>0</v>
      </c>
      <c r="N37" t="n">
        <v>0</v>
      </c>
      <c r="O37" t="n">
        <v>0</v>
      </c>
      <c r="P37" t="n">
        <v>0</v>
      </c>
      <c r="Q37" t="n">
        <v>0</v>
      </c>
      <c r="R37" t="n">
        <v>0</v>
      </c>
      <c r="S37" t="n">
        <v>1</v>
      </c>
      <c r="T37" t="n">
        <v>1</v>
      </c>
      <c r="U37" t="n">
        <v>1</v>
      </c>
      <c r="V37" s="2" t="inlineStr">
        <is>
          <t>Fönsterlav</t>
        </is>
      </c>
      <c r="W37">
        <f>HYPERLINK("https://klasma.github.io/Logging_0381/artfynd/A 6242-2025 artfynd.xlsx", "A 6242-2025")</f>
        <v/>
      </c>
      <c r="X37">
        <f>HYPERLINK("https://klasma.github.io/Logging_0381/kartor/A 6242-2025 karta.png", "A 6242-2025")</f>
        <v/>
      </c>
      <c r="Y37">
        <f>HYPERLINK("https://klasma.github.io/Logging_0381/kartor_geotiff/A 6242-2025 georefererad karta.tif", "A 6242-2025")</f>
        <v/>
      </c>
      <c r="AA37">
        <f>HYPERLINK("https://klasma.github.io/Logging_0381/klagomål/A 6242-2025 FSC-klagomål.docx", "A 6242-2025")</f>
        <v/>
      </c>
      <c r="AB37">
        <f>HYPERLINK("https://klasma.github.io/Logging_0381/klagomålsmail/A 6242-2025 FSC-klagomål mail.docx", "A 6242-2025")</f>
        <v/>
      </c>
      <c r="AC37">
        <f>HYPERLINK("https://klasma.github.io/Logging_0381/tillsyn/A 6242-2025 tillsynsbegäran.docx", "A 6242-2025")</f>
        <v/>
      </c>
      <c r="AD37">
        <f>HYPERLINK("https://klasma.github.io/Logging_0381/tillsynsmail/A 6242-2025 tillsynsbegäran mail.docx", "A 6242-2025")</f>
        <v/>
      </c>
    </row>
    <row r="38" ht="15" customHeight="1">
      <c r="A38" t="inlineStr">
        <is>
          <t>A 20440-2025</t>
        </is>
      </c>
      <c r="B38" t="inlineStr">
        <is>
          <t>avverkningsanmälan</t>
        </is>
      </c>
      <c r="C38" t="inlineStr">
        <is>
          <t>Föryngringsavverkning</t>
        </is>
      </c>
      <c r="D38" s="1" t="n">
        <v>45775</v>
      </c>
      <c r="E38" s="1" t="n">
        <v>46261</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28669-2026</t>
        </is>
      </c>
      <c r="B39" t="inlineStr">
        <is>
          <t>avverkningsanmälan</t>
        </is>
      </c>
      <c r="C39" t="inlineStr">
        <is>
          <t>Föryngringsavverkning</t>
        </is>
      </c>
      <c r="D39" s="1" t="n">
        <v>46194</v>
      </c>
      <c r="E39" s="1" t="n">
        <v>46261</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A 26319-2022</t>
        </is>
      </c>
      <c r="B40" t="inlineStr">
        <is>
          <t>avverkningsanmälan</t>
        </is>
      </c>
      <c r="C40" t="inlineStr">
        <is>
          <t>Föryngringsavverkning</t>
        </is>
      </c>
      <c r="D40" s="1" t="n">
        <v>44735</v>
      </c>
      <c r="E40" s="1" t="n">
        <v>46261</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S 3035-2023</t>
        </is>
      </c>
      <c r="B41" t="inlineStr">
        <is>
          <t>samrådsanmälan</t>
        </is>
      </c>
      <c r="C41" t="inlineStr">
        <is>
          <t>Annan skogsbruksåtgärd</t>
        </is>
      </c>
      <c r="D41" s="1" t="n">
        <v>45177</v>
      </c>
      <c r="E41" s="1" t="n">
        <v>46261</v>
      </c>
      <c r="F41" t="inlineStr">
        <is>
          <t>UPPSALA LÄN</t>
        </is>
      </c>
      <c r="G41" t="inlineStr">
        <is>
          <t>ENKÖPING</t>
        </is>
      </c>
      <c r="I41" t="n">
        <v>5.9</v>
      </c>
      <c r="J41" t="n">
        <v>0</v>
      </c>
      <c r="K41" t="n">
        <v>0</v>
      </c>
      <c r="L41" t="n">
        <v>0</v>
      </c>
      <c r="M41" t="n">
        <v>1</v>
      </c>
      <c r="N41" t="n">
        <v>0</v>
      </c>
      <c r="O41" t="n">
        <v>0</v>
      </c>
      <c r="P41" t="n">
        <v>0</v>
      </c>
      <c r="Q41" t="n">
        <v>1</v>
      </c>
      <c r="R41" t="n">
        <v>1</v>
      </c>
      <c r="S41" t="n">
        <v>1</v>
      </c>
      <c r="T41" t="n">
        <v>2</v>
      </c>
      <c r="U41" t="n">
        <v>0</v>
      </c>
      <c r="V41" s="2" t="inlineStr">
        <is>
          <t>Frösöstarr</t>
        </is>
      </c>
      <c r="W41">
        <f>HYPERLINK("https://klasma.github.io/Logging_0381/artfynd/S 3035-2023 artfynd.xlsx", "S 3035-2023")</f>
        <v/>
      </c>
      <c r="X41">
        <f>HYPERLINK("https://klasma.github.io/Logging_0381/kartor/S 3035-2023 karta.png", "S 3035-2023")</f>
        <v/>
      </c>
      <c r="Y41">
        <f>HYPERLINK("https://klasma.github.io/Logging_0381/kartor_geotiff/S 3035-2023 georefererad karta.tif", "S 3035-2023")</f>
        <v/>
      </c>
      <c r="AA41">
        <f>HYPERLINK("https://klasma.github.io/Logging_0381/klagomål/S 3035-2023 FSC-klagomål.docx", "S 3035-2023")</f>
        <v/>
      </c>
      <c r="AB41">
        <f>HYPERLINK("https://klasma.github.io/Logging_0381/klagomålsmail/S 3035-2023 FSC-klagomål mail.docx", "S 3035-2023")</f>
        <v/>
      </c>
      <c r="AC41">
        <f>HYPERLINK("https://klasma.github.io/Logging_0381/tillsyn/S 3035-2023 tillsynsbegäran.docx", "S 3035-2023")</f>
        <v/>
      </c>
      <c r="AD41">
        <f>HYPERLINK("https://klasma.github.io/Logging_0381/tillsynsmail/S 3035-2023 tillsynsbegäran mail.docx", "S 3035-2023")</f>
        <v/>
      </c>
    </row>
    <row r="42" ht="15" customHeight="1">
      <c r="A42" t="inlineStr">
        <is>
          <t>S 1937-2026</t>
        </is>
      </c>
      <c r="B42" t="inlineStr">
        <is>
          <t>samrådsanmälan</t>
        </is>
      </c>
      <c r="C42" t="inlineStr">
        <is>
          <t>Annan skogsbruksåtgärd</t>
        </is>
      </c>
      <c r="D42" s="1" t="n">
        <v>46203</v>
      </c>
      <c r="E42" s="1" t="n">
        <v>46261</v>
      </c>
      <c r="F42" t="inlineStr">
        <is>
          <t>UPPSALA LÄN</t>
        </is>
      </c>
      <c r="G42" t="inlineStr">
        <is>
          <t>ENKÖPING</t>
        </is>
      </c>
      <c r="I42" t="n">
        <v>0.2</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HYPERLINK("https://klasma.github.io/Logging_0381/artfynd/S 1937-2026 artfynd.xlsx", "S 1937-2026")</f>
        <v/>
      </c>
      <c r="X42">
        <f>HYPERLINK("https://klasma.github.io/Logging_0381/kartor/S 1937-2026 karta.png", "S 1937-2026")</f>
        <v/>
      </c>
      <c r="Y42">
        <f>HYPERLINK("https://klasma.github.io/Logging_0381/kartor_geotiff/S 1937-2026 georefererad karta.tif", "S 1937-2026")</f>
        <v/>
      </c>
      <c r="AA42">
        <f>HYPERLINK("https://klasma.github.io/Logging_0381/klagomål/S 1937-2026 FSC-klagomål.docx", "S 1937-2026")</f>
        <v/>
      </c>
      <c r="AB42">
        <f>HYPERLINK("https://klasma.github.io/Logging_0381/klagomålsmail/S 1937-2026 FSC-klagomål mail.docx", "S 1937-2026")</f>
        <v/>
      </c>
      <c r="AC42">
        <f>HYPERLINK("https://klasma.github.io/Logging_0381/tillsyn/S 1937-2026 tillsynsbegäran.docx", "S 1937-2026")</f>
        <v/>
      </c>
      <c r="AD42">
        <f>HYPERLINK("https://klasma.github.io/Logging_0381/tillsynsmail/S 1937-2026 tillsynsbegäran mail.docx", "S 1937-2026")</f>
        <v/>
      </c>
    </row>
    <row r="43" ht="15" customHeight="1">
      <c r="A43" t="inlineStr">
        <is>
          <t>A 55582-2021</t>
        </is>
      </c>
      <c r="B43" t="inlineStr">
        <is>
          <t>avverkningsanmälan</t>
        </is>
      </c>
      <c r="C43" t="inlineStr">
        <is>
          <t>Avverkning för annat ändamål</t>
        </is>
      </c>
      <c r="D43" s="1" t="n">
        <v>44475</v>
      </c>
      <c r="E43" s="1" t="n">
        <v>46261</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56176-2021</t>
        </is>
      </c>
      <c r="B44" t="inlineStr">
        <is>
          <t>avverkningsanmälan</t>
        </is>
      </c>
      <c r="C44" t="inlineStr">
        <is>
          <t>Föryngringsavverkning</t>
        </is>
      </c>
      <c r="D44" s="1" t="n">
        <v>44477</v>
      </c>
      <c r="E44" s="1" t="n">
        <v>46261</v>
      </c>
      <c r="F44" t="inlineStr">
        <is>
          <t>UPPSALA LÄN</t>
        </is>
      </c>
      <c r="G44" t="inlineStr">
        <is>
          <t>ENKÖPING</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61553-2021</t>
        </is>
      </c>
      <c r="B45" t="inlineStr">
        <is>
          <t>avverkningsanmälan</t>
        </is>
      </c>
      <c r="C45" t="inlineStr">
        <is>
          <t>Föryngringsavverkning</t>
        </is>
      </c>
      <c r="D45" s="1" t="n">
        <v>44501</v>
      </c>
      <c r="E45" s="1" t="n">
        <v>46261</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61076-2021</t>
        </is>
      </c>
      <c r="B46" t="inlineStr">
        <is>
          <t>avverkningsanmälan</t>
        </is>
      </c>
      <c r="C46" t="inlineStr">
        <is>
          <t>Föryngringsavverkning</t>
        </is>
      </c>
      <c r="D46" s="1" t="n">
        <v>44497</v>
      </c>
      <c r="E46" s="1" t="n">
        <v>46261</v>
      </c>
      <c r="F46" t="inlineStr">
        <is>
          <t>UPPSALA LÄN</t>
        </is>
      </c>
      <c r="G46" t="inlineStr">
        <is>
          <t>ENKÖPING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57066-2021</t>
        </is>
      </c>
      <c r="B47" t="inlineStr">
        <is>
          <t>avverkningsanmälan</t>
        </is>
      </c>
      <c r="C47" t="inlineStr">
        <is>
          <t>Föryngringsavverkning</t>
        </is>
      </c>
      <c r="D47" s="1" t="n">
        <v>44482</v>
      </c>
      <c r="E47" s="1" t="n">
        <v>46261</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54433-2021</t>
        </is>
      </c>
      <c r="B48" t="inlineStr">
        <is>
          <t>avverkningsanmälan</t>
        </is>
      </c>
      <c r="C48" t="inlineStr">
        <is>
          <t>Föryngringsavverkning</t>
        </is>
      </c>
      <c r="D48" s="1" t="n">
        <v>44473</v>
      </c>
      <c r="E48" s="1" t="n">
        <v>46261</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46261</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46261</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46261</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46261</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46261</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46261</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46261</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46261</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46261</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46261</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46261</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46261</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38005-2022</t>
        </is>
      </c>
      <c r="B61" t="inlineStr">
        <is>
          <t>avverkningsanmälan</t>
        </is>
      </c>
      <c r="C61" t="inlineStr">
        <is>
          <t>Föryngringsavverkning</t>
        </is>
      </c>
      <c r="D61" s="1" t="n">
        <v>44810</v>
      </c>
      <c r="E61" s="1" t="n">
        <v>46261</v>
      </c>
      <c r="F61" t="inlineStr">
        <is>
          <t>UPPSALA LÄN</t>
        </is>
      </c>
      <c r="G61" t="inlineStr">
        <is>
          <t>ENKÖPING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29425-2022</t>
        </is>
      </c>
      <c r="B62" t="inlineStr">
        <is>
          <t>avverkningsanmälan</t>
        </is>
      </c>
      <c r="C62" t="inlineStr">
        <is>
          <t>Föryngringsavverkning</t>
        </is>
      </c>
      <c r="D62" s="1" t="n">
        <v>44753</v>
      </c>
      <c r="E62" s="1" t="n">
        <v>46261</v>
      </c>
      <c r="F62" t="inlineStr">
        <is>
          <t>UPPSALA LÄN</t>
        </is>
      </c>
      <c r="G62" t="inlineStr">
        <is>
          <t>ENKÖPING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46261</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46261</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46261</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46261</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46261</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46261</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46261</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46261</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46261</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46261</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46261</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46261</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46261</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46261</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47106-2021</t>
        </is>
      </c>
      <c r="B77" t="inlineStr">
        <is>
          <t>avverkningsanmälan</t>
        </is>
      </c>
      <c r="C77" t="inlineStr">
        <is>
          <t>Föryngringsavverkning</t>
        </is>
      </c>
      <c r="D77" s="1" t="n">
        <v>44446</v>
      </c>
      <c r="E77" s="1" t="n">
        <v>46261</v>
      </c>
      <c r="F77" t="inlineStr">
        <is>
          <t>UPPSALA LÄN</t>
        </is>
      </c>
      <c r="G77" t="inlineStr">
        <is>
          <t>ENKÖPING</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46261</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46261</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46261</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46261</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46261</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46261</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46261</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46261</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5211-2024</t>
        </is>
      </c>
      <c r="B86" t="inlineStr">
        <is>
          <t>avverkningsanmälan</t>
        </is>
      </c>
      <c r="C86" t="inlineStr">
        <is>
          <t>Föryngringsavverkning</t>
        </is>
      </c>
      <c r="D86" s="1" t="n">
        <v>45330</v>
      </c>
      <c r="E86" s="1" t="n">
        <v>46261</v>
      </c>
      <c r="F86" t="inlineStr">
        <is>
          <t>UPPSALA LÄN</t>
        </is>
      </c>
      <c r="G86" t="inlineStr">
        <is>
          <t>ENKÖPING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43488-2023</t>
        </is>
      </c>
      <c r="B87" t="inlineStr">
        <is>
          <t>avverkningsanmälan</t>
        </is>
      </c>
      <c r="C87" t="inlineStr">
        <is>
          <t>Föryngringsavverkning</t>
        </is>
      </c>
      <c r="D87" s="1" t="n">
        <v>45181</v>
      </c>
      <c r="E87" s="1" t="n">
        <v>46261</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4044-2024</t>
        </is>
      </c>
      <c r="B88" t="inlineStr">
        <is>
          <t>avverkningsanmälan</t>
        </is>
      </c>
      <c r="C88" t="inlineStr">
        <is>
          <t>Föryngringsavverkning</t>
        </is>
      </c>
      <c r="D88" s="1" t="n">
        <v>45323</v>
      </c>
      <c r="E88" s="1" t="n">
        <v>46261</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46261</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46261</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46261</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46261</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20112-2024</t>
        </is>
      </c>
      <c r="B93" t="inlineStr">
        <is>
          <t>avverkningsanmälan</t>
        </is>
      </c>
      <c r="C93" t="inlineStr">
        <is>
          <t>Föryngringsavverkning</t>
        </is>
      </c>
      <c r="D93" s="1" t="n">
        <v>45434</v>
      </c>
      <c r="E93" s="1" t="n">
        <v>46261</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51932-2022</t>
        </is>
      </c>
      <c r="B94" t="inlineStr">
        <is>
          <t>avverkningsanmälan</t>
        </is>
      </c>
      <c r="C94" t="inlineStr">
        <is>
          <t>Föryngringsavverkning</t>
        </is>
      </c>
      <c r="D94" s="1" t="n">
        <v>44872</v>
      </c>
      <c r="E94" s="1" t="n">
        <v>46261</v>
      </c>
      <c r="F94" t="inlineStr">
        <is>
          <t>UPPSALA LÄN</t>
        </is>
      </c>
      <c r="G94" t="inlineStr">
        <is>
          <t>ENKÖPING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12958-2024</t>
        </is>
      </c>
      <c r="B95" t="inlineStr">
        <is>
          <t>avverkningsanmälan</t>
        </is>
      </c>
      <c r="C95" t="inlineStr">
        <is>
          <t>Föryngringsavverkning</t>
        </is>
      </c>
      <c r="D95" s="1" t="n">
        <v>45385</v>
      </c>
      <c r="E95" s="1" t="n">
        <v>46261</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40812-2022</t>
        </is>
      </c>
      <c r="B96" t="inlineStr">
        <is>
          <t>avverkningsanmälan</t>
        </is>
      </c>
      <c r="C96" t="inlineStr">
        <is>
          <t>Föryngringsavverkning</t>
        </is>
      </c>
      <c r="D96" s="1" t="n">
        <v>44824</v>
      </c>
      <c r="E96" s="1" t="n">
        <v>46261</v>
      </c>
      <c r="F96" t="inlineStr">
        <is>
          <t>UPPSALA LÄN</t>
        </is>
      </c>
      <c r="G96" t="inlineStr">
        <is>
          <t>ENKÖPING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24291-2024</t>
        </is>
      </c>
      <c r="B97" t="inlineStr">
        <is>
          <t>avverkningsanmälan</t>
        </is>
      </c>
      <c r="C97" t="inlineStr">
        <is>
          <t>Föryngringsavverkning</t>
        </is>
      </c>
      <c r="D97" s="1" t="n">
        <v>45457</v>
      </c>
      <c r="E97" s="1" t="n">
        <v>46261</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47428-2023</t>
        </is>
      </c>
      <c r="B98" t="inlineStr">
        <is>
          <t>avverkningsanmälan</t>
        </is>
      </c>
      <c r="C98" t="inlineStr">
        <is>
          <t>Föryngringsavverkning</t>
        </is>
      </c>
      <c r="D98" s="1" t="n">
        <v>45202</v>
      </c>
      <c r="E98" s="1" t="n">
        <v>46261</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44232-2022</t>
        </is>
      </c>
      <c r="B99" t="inlineStr">
        <is>
          <t>avverkningsanmälan</t>
        </is>
      </c>
      <c r="C99" t="inlineStr">
        <is>
          <t>Föryngringsavverkning</t>
        </is>
      </c>
      <c r="D99" s="1" t="n">
        <v>44839</v>
      </c>
      <c r="E99" s="1" t="n">
        <v>46261</v>
      </c>
      <c r="F99" t="inlineStr">
        <is>
          <t>UPPSALA LÄN</t>
        </is>
      </c>
      <c r="G99" t="inlineStr">
        <is>
          <t>ENKÖPING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25333-2023</t>
        </is>
      </c>
      <c r="B100" t="inlineStr">
        <is>
          <t>avverkningsanmälan</t>
        </is>
      </c>
      <c r="C100" t="inlineStr">
        <is>
          <t>Föryngringsavverkning</t>
        </is>
      </c>
      <c r="D100" s="1" t="n">
        <v>45083</v>
      </c>
      <c r="E100" s="1" t="n">
        <v>46261</v>
      </c>
      <c r="F100" t="inlineStr">
        <is>
          <t>UPPSALA LÄN</t>
        </is>
      </c>
      <c r="G100" t="inlineStr">
        <is>
          <t>ENKÖPING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60350-2022</t>
        </is>
      </c>
      <c r="B101" t="inlineStr">
        <is>
          <t>avverkningsanmälan</t>
        </is>
      </c>
      <c r="C101" t="inlineStr">
        <is>
          <t>Föryngringsavverkning</t>
        </is>
      </c>
      <c r="D101" s="1" t="n">
        <v>44910</v>
      </c>
      <c r="E101" s="1" t="n">
        <v>46261</v>
      </c>
      <c r="F101" t="inlineStr">
        <is>
          <t>UPPSALA LÄN</t>
        </is>
      </c>
      <c r="G101" t="inlineStr">
        <is>
          <t>ENKÖPING</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45362-2022</t>
        </is>
      </c>
      <c r="B102" t="inlineStr">
        <is>
          <t>avverkningsanmälan</t>
        </is>
      </c>
      <c r="C102" t="inlineStr">
        <is>
          <t>Föryngringsavverkning</t>
        </is>
      </c>
      <c r="D102" s="1" t="n">
        <v>44844</v>
      </c>
      <c r="E102" s="1" t="n">
        <v>46261</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56526-2022</t>
        </is>
      </c>
      <c r="B103" t="inlineStr">
        <is>
          <t>avverkningsanmälan</t>
        </is>
      </c>
      <c r="C103" t="inlineStr">
        <is>
          <t>Föryngringsavverkning</t>
        </is>
      </c>
      <c r="D103" s="1" t="n">
        <v>44893</v>
      </c>
      <c r="E103" s="1" t="n">
        <v>46261</v>
      </c>
      <c r="F103" t="inlineStr">
        <is>
          <t>UPPSALA LÄN</t>
        </is>
      </c>
      <c r="G103" t="inlineStr">
        <is>
          <t>ENKÖPING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30098-2024</t>
        </is>
      </c>
      <c r="B104" t="inlineStr">
        <is>
          <t>avverkningsanmälan</t>
        </is>
      </c>
      <c r="C104" t="inlineStr">
        <is>
          <t>Föryngringsavverkning</t>
        </is>
      </c>
      <c r="D104" s="1" t="n">
        <v>45489</v>
      </c>
      <c r="E104" s="1" t="n">
        <v>46261</v>
      </c>
      <c r="F104" t="inlineStr">
        <is>
          <t>UPPSALA LÄN</t>
        </is>
      </c>
      <c r="G104" t="inlineStr">
        <is>
          <t>ENKÖPING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60848-2025</t>
        </is>
      </c>
      <c r="B105" t="inlineStr">
        <is>
          <t>avverkningsanmälan</t>
        </is>
      </c>
      <c r="C105" t="inlineStr">
        <is>
          <t>Föryngringsavverkning</t>
        </is>
      </c>
      <c r="D105" s="1" t="n">
        <v>45999</v>
      </c>
      <c r="E105" s="1" t="n">
        <v>46261</v>
      </c>
      <c r="F105" t="inlineStr">
        <is>
          <t>UPPSALA LÄN</t>
        </is>
      </c>
      <c r="G105" t="inlineStr">
        <is>
          <t>ENKÖPING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5749-2025</t>
        </is>
      </c>
      <c r="B106" t="inlineStr">
        <is>
          <t>avverkningsanmälan</t>
        </is>
      </c>
      <c r="C106" t="inlineStr">
        <is>
          <t>Föryngringsavverkning</t>
        </is>
      </c>
      <c r="D106" s="1" t="n">
        <v>45694</v>
      </c>
      <c r="E106" s="1" t="n">
        <v>46261</v>
      </c>
      <c r="F106" t="inlineStr">
        <is>
          <t>UPPSALA LÄN</t>
        </is>
      </c>
      <c r="G106" t="inlineStr">
        <is>
          <t>ENKÖPING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8020-2022</t>
        </is>
      </c>
      <c r="B107" t="inlineStr">
        <is>
          <t>avverkningsanmälan</t>
        </is>
      </c>
      <c r="C107" t="inlineStr">
        <is>
          <t>Föryngringsavverkning</t>
        </is>
      </c>
      <c r="D107" s="1" t="n">
        <v>44609</v>
      </c>
      <c r="E107" s="1" t="n">
        <v>46261</v>
      </c>
      <c r="F107" t="inlineStr">
        <is>
          <t>UPPSALA LÄN</t>
        </is>
      </c>
      <c r="G107" t="inlineStr">
        <is>
          <t>ENKÖPING</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34805-2024</t>
        </is>
      </c>
      <c r="B108" t="inlineStr">
        <is>
          <t>avverkningsanmälan</t>
        </is>
      </c>
      <c r="C108" t="inlineStr">
        <is>
          <t>Föryngringsavverkning</t>
        </is>
      </c>
      <c r="D108" s="1" t="n">
        <v>45526</v>
      </c>
      <c r="E108" s="1" t="n">
        <v>46261</v>
      </c>
      <c r="F108" t="inlineStr">
        <is>
          <t>UPPSALA LÄN</t>
        </is>
      </c>
      <c r="G108" t="inlineStr">
        <is>
          <t>ENKÖPING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314-2025</t>
        </is>
      </c>
      <c r="B109" t="inlineStr">
        <is>
          <t>avverkningsanmälan</t>
        </is>
      </c>
      <c r="C109" t="inlineStr">
        <is>
          <t>Föryngringsavverkning</t>
        </is>
      </c>
      <c r="D109" s="1" t="n">
        <v>45656</v>
      </c>
      <c r="E109" s="1" t="n">
        <v>46261</v>
      </c>
      <c r="F109" t="inlineStr">
        <is>
          <t>UPPSALA LÄN</t>
        </is>
      </c>
      <c r="G109" t="inlineStr">
        <is>
          <t>ENKÖPING</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5712-2025</t>
        </is>
      </c>
      <c r="B110" t="inlineStr">
        <is>
          <t>avverkningsanmälan</t>
        </is>
      </c>
      <c r="C110" t="inlineStr">
        <is>
          <t>Föryngringsavverkning</t>
        </is>
      </c>
      <c r="D110" s="1" t="n">
        <v>45694</v>
      </c>
      <c r="E110" s="1" t="n">
        <v>46261</v>
      </c>
      <c r="F110" t="inlineStr">
        <is>
          <t>UPPSALA LÄN</t>
        </is>
      </c>
      <c r="G110" t="inlineStr">
        <is>
          <t>ENKÖPING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69344-2021</t>
        </is>
      </c>
      <c r="B111" t="inlineStr">
        <is>
          <t>avverkningsanmälan</t>
        </is>
      </c>
      <c r="C111" t="inlineStr">
        <is>
          <t>Föryngringsavverkning</t>
        </is>
      </c>
      <c r="D111" s="1" t="n">
        <v>44531</v>
      </c>
      <c r="E111" s="1" t="n">
        <v>46261</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192-2026</t>
        </is>
      </c>
      <c r="B112" t="inlineStr">
        <is>
          <t>avverkningsanmälan</t>
        </is>
      </c>
      <c r="C112" t="inlineStr">
        <is>
          <t>Avverkning för annat ändamål</t>
        </is>
      </c>
      <c r="D112" s="1" t="n">
        <v>46025</v>
      </c>
      <c r="E112" s="1" t="n">
        <v>46261</v>
      </c>
      <c r="F112" t="inlineStr">
        <is>
          <t>UPPSALA LÄN</t>
        </is>
      </c>
      <c r="G112" t="inlineStr">
        <is>
          <t>ENKÖPING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45956-2024</t>
        </is>
      </c>
      <c r="B113" t="inlineStr">
        <is>
          <t>avverkningsanmälan</t>
        </is>
      </c>
      <c r="C113" t="inlineStr">
        <is>
          <t>Föryngringsavverkning</t>
        </is>
      </c>
      <c r="D113" s="1" t="n">
        <v>45580</v>
      </c>
      <c r="E113" s="1" t="n">
        <v>46261</v>
      </c>
      <c r="F113" t="inlineStr">
        <is>
          <t>UPPSALA LÄN</t>
        </is>
      </c>
      <c r="G113" t="inlineStr">
        <is>
          <t>ENKÖPING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11627-2025</t>
        </is>
      </c>
      <c r="B114" t="inlineStr">
        <is>
          <t>avverkningsanmälan</t>
        </is>
      </c>
      <c r="C114" t="inlineStr">
        <is>
          <t>Föryngringsavverkning</t>
        </is>
      </c>
      <c r="D114" s="1" t="n">
        <v>45727</v>
      </c>
      <c r="E114" s="1" t="n">
        <v>46261</v>
      </c>
      <c r="F114" t="inlineStr">
        <is>
          <t>UPPSALA LÄN</t>
        </is>
      </c>
      <c r="G114" t="inlineStr">
        <is>
          <t>ENKÖPING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74090-2021</t>
        </is>
      </c>
      <c r="B115" t="inlineStr">
        <is>
          <t>avverkningsanmälan</t>
        </is>
      </c>
      <c r="C115" t="inlineStr">
        <is>
          <t>Föryngringsavverkning</t>
        </is>
      </c>
      <c r="D115" s="1" t="n">
        <v>44557</v>
      </c>
      <c r="E115" s="1" t="n">
        <v>46261</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861-2026</t>
        </is>
      </c>
      <c r="B116" t="inlineStr">
        <is>
          <t>avverkningsanmälan</t>
        </is>
      </c>
      <c r="C116" t="inlineStr">
        <is>
          <t>Avverkning för annat ändamål</t>
        </is>
      </c>
      <c r="D116" s="1" t="n">
        <v>46030</v>
      </c>
      <c r="E116" s="1" t="n">
        <v>46261</v>
      </c>
      <c r="F116" t="inlineStr">
        <is>
          <t>UPPSALA LÄN</t>
        </is>
      </c>
      <c r="G116" t="inlineStr">
        <is>
          <t>ENKÖPING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1651-2024</t>
        </is>
      </c>
      <c r="B117" t="inlineStr">
        <is>
          <t>avverkningsanmälan</t>
        </is>
      </c>
      <c r="C117" t="inlineStr">
        <is>
          <t>Föryngringsavverkning</t>
        </is>
      </c>
      <c r="D117" s="1" t="n">
        <v>45306</v>
      </c>
      <c r="E117" s="1" t="n">
        <v>46261</v>
      </c>
      <c r="F117" t="inlineStr">
        <is>
          <t>UPPSALA LÄN</t>
        </is>
      </c>
      <c r="G117" t="inlineStr">
        <is>
          <t>ENKÖPING</t>
        </is>
      </c>
      <c r="I117" t="n">
        <v>10.2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2218-2026</t>
        </is>
      </c>
      <c r="B118" t="inlineStr">
        <is>
          <t>avverkningsanmälan</t>
        </is>
      </c>
      <c r="C118" t="inlineStr">
        <is>
          <t>Föryngringsavverkning</t>
        </is>
      </c>
      <c r="D118" s="1" t="n">
        <v>46036</v>
      </c>
      <c r="E118" s="1" t="n">
        <v>46261</v>
      </c>
      <c r="F118" t="inlineStr">
        <is>
          <t>UPPSALA LÄN</t>
        </is>
      </c>
      <c r="G118" t="inlineStr">
        <is>
          <t>ENKÖPING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58092-2024</t>
        </is>
      </c>
      <c r="B119" t="inlineStr">
        <is>
          <t>avverkningsanmälan</t>
        </is>
      </c>
      <c r="C119" t="inlineStr">
        <is>
          <t>Avverkning för annat ändamål</t>
        </is>
      </c>
      <c r="D119" s="1" t="n">
        <v>45632</v>
      </c>
      <c r="E119" s="1" t="n">
        <v>46261</v>
      </c>
      <c r="F119" t="inlineStr">
        <is>
          <t>UPPSALA LÄN</t>
        </is>
      </c>
      <c r="G119" t="inlineStr">
        <is>
          <t>ENKÖPING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24411-2024</t>
        </is>
      </c>
      <c r="B120" t="inlineStr">
        <is>
          <t>avverkningsanmälan</t>
        </is>
      </c>
      <c r="C120" t="inlineStr">
        <is>
          <t>Föryngringsavverkning</t>
        </is>
      </c>
      <c r="D120" s="1" t="n">
        <v>45457</v>
      </c>
      <c r="E120" s="1" t="n">
        <v>46261</v>
      </c>
      <c r="F120" t="inlineStr">
        <is>
          <t>UPPSALA LÄN</t>
        </is>
      </c>
      <c r="G120" t="inlineStr">
        <is>
          <t>ENKÖPING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25988-2025</t>
        </is>
      </c>
      <c r="B121" t="inlineStr">
        <is>
          <t>avverkningsanmälan</t>
        </is>
      </c>
      <c r="C121" t="inlineStr">
        <is>
          <t>Föryngringsavverkning</t>
        </is>
      </c>
      <c r="D121" s="1" t="n">
        <v>45804</v>
      </c>
      <c r="E121" s="1" t="n">
        <v>46261</v>
      </c>
      <c r="F121" t="inlineStr">
        <is>
          <t>UPPSALA LÄN</t>
        </is>
      </c>
      <c r="G121" t="inlineStr">
        <is>
          <t>ENKÖPING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26030-2025</t>
        </is>
      </c>
      <c r="B122" t="inlineStr">
        <is>
          <t>avverkningsanmälan</t>
        </is>
      </c>
      <c r="C122" t="inlineStr">
        <is>
          <t>Föryngringsavverkning</t>
        </is>
      </c>
      <c r="D122" s="1" t="n">
        <v>45804</v>
      </c>
      <c r="E122" s="1" t="n">
        <v>46261</v>
      </c>
      <c r="F122" t="inlineStr">
        <is>
          <t>UPPSALA LÄN</t>
        </is>
      </c>
      <c r="G122" t="inlineStr">
        <is>
          <t>ENKÖPING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26005-2025</t>
        </is>
      </c>
      <c r="B123" t="inlineStr">
        <is>
          <t>avverkningsanmälan</t>
        </is>
      </c>
      <c r="C123" t="inlineStr">
        <is>
          <t>Föryngringsavverkning</t>
        </is>
      </c>
      <c r="D123" s="1" t="n">
        <v>45804</v>
      </c>
      <c r="E123" s="1" t="n">
        <v>46261</v>
      </c>
      <c r="F123" t="inlineStr">
        <is>
          <t>UPPSALA LÄN</t>
        </is>
      </c>
      <c r="G123" t="inlineStr">
        <is>
          <t>ENKÖPING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35067-2024</t>
        </is>
      </c>
      <c r="B124" t="inlineStr">
        <is>
          <t>avverkningsanmälan</t>
        </is>
      </c>
      <c r="C124" t="inlineStr">
        <is>
          <t>Föryngringsavverkning</t>
        </is>
      </c>
      <c r="D124" s="1" t="n">
        <v>45527</v>
      </c>
      <c r="E124" s="1" t="n">
        <v>46261</v>
      </c>
      <c r="F124" t="inlineStr">
        <is>
          <t>UPPSALA LÄN</t>
        </is>
      </c>
      <c r="G124" t="inlineStr">
        <is>
          <t>ENKÖPING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31242-2024</t>
        </is>
      </c>
      <c r="B125" t="inlineStr">
        <is>
          <t>avverkningsanmälan</t>
        </is>
      </c>
      <c r="C125" t="inlineStr">
        <is>
          <t>Föryngringsavverkning</t>
        </is>
      </c>
      <c r="D125" s="1" t="n">
        <v>45503</v>
      </c>
      <c r="E125" s="1" t="n">
        <v>46261</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2162-2023</t>
        </is>
      </c>
      <c r="B126" t="inlineStr">
        <is>
          <t>avverkningsanmälan</t>
        </is>
      </c>
      <c r="C126" t="inlineStr">
        <is>
          <t>Föryngringsavverkning</t>
        </is>
      </c>
      <c r="D126" s="1" t="n">
        <v>44941</v>
      </c>
      <c r="E126" s="1" t="n">
        <v>46261</v>
      </c>
      <c r="F126" t="inlineStr">
        <is>
          <t>UPPSALA LÄN</t>
        </is>
      </c>
      <c r="G126" t="inlineStr">
        <is>
          <t>ENKÖPING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5569-2026</t>
        </is>
      </c>
      <c r="B127" t="inlineStr">
        <is>
          <t>avverkningsanmälan</t>
        </is>
      </c>
      <c r="C127" t="inlineStr">
        <is>
          <t>Föryngringsavverkning</t>
        </is>
      </c>
      <c r="D127" s="1" t="n">
        <v>46050</v>
      </c>
      <c r="E127" s="1" t="n">
        <v>46261</v>
      </c>
      <c r="F127" t="inlineStr">
        <is>
          <t>UPPSALA LÄN</t>
        </is>
      </c>
      <c r="G127" t="inlineStr">
        <is>
          <t>ENKÖPING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5948-2026</t>
        </is>
      </c>
      <c r="B128" t="inlineStr">
        <is>
          <t>avverkningsanmälan</t>
        </is>
      </c>
      <c r="C128" t="inlineStr">
        <is>
          <t>Föryngringsavverkning</t>
        </is>
      </c>
      <c r="D128" s="1" t="n">
        <v>46052</v>
      </c>
      <c r="E128" s="1" t="n">
        <v>46261</v>
      </c>
      <c r="F128" t="inlineStr">
        <is>
          <t>UPPSALA LÄN</t>
        </is>
      </c>
      <c r="G128" t="inlineStr">
        <is>
          <t>ENKÖPING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6031-2026</t>
        </is>
      </c>
      <c r="B129" t="inlineStr">
        <is>
          <t>avverkningsanmälan</t>
        </is>
      </c>
      <c r="C129" t="inlineStr">
        <is>
          <t>Föryngringsavverkning</t>
        </is>
      </c>
      <c r="D129" s="1" t="n">
        <v>46052</v>
      </c>
      <c r="E129" s="1" t="n">
        <v>46261</v>
      </c>
      <c r="F129" t="inlineStr">
        <is>
          <t>UPPSALA LÄN</t>
        </is>
      </c>
      <c r="G129" t="inlineStr">
        <is>
          <t>ENKÖPING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56163-2021</t>
        </is>
      </c>
      <c r="B130" t="inlineStr">
        <is>
          <t>avverkningsanmälan</t>
        </is>
      </c>
      <c r="C130" t="inlineStr">
        <is>
          <t>Föryngringsavverkning</t>
        </is>
      </c>
      <c r="D130" s="1" t="n">
        <v>44477</v>
      </c>
      <c r="E130" s="1" t="n">
        <v>46261</v>
      </c>
      <c r="F130" t="inlineStr">
        <is>
          <t>UPPSALA LÄN</t>
        </is>
      </c>
      <c r="G130" t="inlineStr">
        <is>
          <t>ENKÖPING</t>
        </is>
      </c>
      <c r="H130" t="inlineStr">
        <is>
          <t>Allmännings- och besparingsskogar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6047-2026</t>
        </is>
      </c>
      <c r="B131" t="inlineStr">
        <is>
          <t>avverkningsanmälan</t>
        </is>
      </c>
      <c r="C131" t="inlineStr">
        <is>
          <t>Föryngringsavverkning</t>
        </is>
      </c>
      <c r="D131" s="1" t="n">
        <v>46052</v>
      </c>
      <c r="E131" s="1" t="n">
        <v>46261</v>
      </c>
      <c r="F131" t="inlineStr">
        <is>
          <t>UPPSALA LÄN</t>
        </is>
      </c>
      <c r="G131" t="inlineStr">
        <is>
          <t>ENKÖPING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28855-2025</t>
        </is>
      </c>
      <c r="B132" t="inlineStr">
        <is>
          <t>avverkningsanmälan</t>
        </is>
      </c>
      <c r="C132" t="inlineStr">
        <is>
          <t>Föryngringsavverkning</t>
        </is>
      </c>
      <c r="D132" s="1" t="n">
        <v>45820</v>
      </c>
      <c r="E132" s="1" t="n">
        <v>46261</v>
      </c>
      <c r="F132" t="inlineStr">
        <is>
          <t>UPPSALA LÄN</t>
        </is>
      </c>
      <c r="G132" t="inlineStr">
        <is>
          <t>ENKÖPING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39009-2024</t>
        </is>
      </c>
      <c r="B133" t="inlineStr">
        <is>
          <t>avverkningsanmälan</t>
        </is>
      </c>
      <c r="C133" t="inlineStr">
        <is>
          <t>Föryngringsavverkning</t>
        </is>
      </c>
      <c r="D133" s="1" t="n">
        <v>45548</v>
      </c>
      <c r="E133" s="1" t="n">
        <v>46261</v>
      </c>
      <c r="F133" t="inlineStr">
        <is>
          <t>UPPSALA LÄN</t>
        </is>
      </c>
      <c r="G133" t="inlineStr">
        <is>
          <t>ENKÖPING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7003-2026</t>
        </is>
      </c>
      <c r="B134" t="inlineStr">
        <is>
          <t>avverkningsanmälan</t>
        </is>
      </c>
      <c r="C134" t="inlineStr">
        <is>
          <t>Föryngringsavverkning</t>
        </is>
      </c>
      <c r="D134" s="1" t="n">
        <v>46057</v>
      </c>
      <c r="E134" s="1" t="n">
        <v>46261</v>
      </c>
      <c r="F134" t="inlineStr">
        <is>
          <t>UPPSALA LÄN</t>
        </is>
      </c>
      <c r="G134" t="inlineStr">
        <is>
          <t>ENKÖPING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8537-2025</t>
        </is>
      </c>
      <c r="B135" t="inlineStr">
        <is>
          <t>avverkningsanmälan</t>
        </is>
      </c>
      <c r="C135" t="inlineStr">
        <is>
          <t>Föryngringsavverkning</t>
        </is>
      </c>
      <c r="D135" s="1" t="n">
        <v>45709</v>
      </c>
      <c r="E135" s="1" t="n">
        <v>46261</v>
      </c>
      <c r="F135" t="inlineStr">
        <is>
          <t>UPPSALA LÄN</t>
        </is>
      </c>
      <c r="G135" t="inlineStr">
        <is>
          <t>ENKÖPING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7008-2026</t>
        </is>
      </c>
      <c r="B136" t="inlineStr">
        <is>
          <t>avverkningsanmälan</t>
        </is>
      </c>
      <c r="C136" t="inlineStr">
        <is>
          <t>Föryngringsavverkning</t>
        </is>
      </c>
      <c r="D136" s="1" t="n">
        <v>46057</v>
      </c>
      <c r="E136" s="1" t="n">
        <v>46261</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47516-2022</t>
        </is>
      </c>
      <c r="B137" t="inlineStr">
        <is>
          <t>avverkningsanmälan</t>
        </is>
      </c>
      <c r="C137" t="inlineStr">
        <is>
          <t>Föryngringsavverkning</t>
        </is>
      </c>
      <c r="D137" s="1" t="n">
        <v>44853</v>
      </c>
      <c r="E137" s="1" t="n">
        <v>46261</v>
      </c>
      <c r="F137" t="inlineStr">
        <is>
          <t>UPPSALA LÄN</t>
        </is>
      </c>
      <c r="G137" t="inlineStr">
        <is>
          <t>ENKÖPING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28318-2024</t>
        </is>
      </c>
      <c r="B138" t="inlineStr">
        <is>
          <t>avverkningsanmälan</t>
        </is>
      </c>
      <c r="C138" t="inlineStr">
        <is>
          <t>Föryngringsavverkning</t>
        </is>
      </c>
      <c r="D138" s="1" t="n">
        <v>45477</v>
      </c>
      <c r="E138" s="1" t="n">
        <v>46261</v>
      </c>
      <c r="F138" t="inlineStr">
        <is>
          <t>UPPSALA LÄN</t>
        </is>
      </c>
      <c r="G138" t="inlineStr">
        <is>
          <t>ENKÖPING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42029-2025</t>
        </is>
      </c>
      <c r="B139" t="inlineStr">
        <is>
          <t>avverkningsanmälan</t>
        </is>
      </c>
      <c r="C139" t="inlineStr">
        <is>
          <t>Föryngringsavverkning</t>
        </is>
      </c>
      <c r="D139" s="1" t="n">
        <v>45903</v>
      </c>
      <c r="E139" s="1" t="n">
        <v>46261</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8309-2026</t>
        </is>
      </c>
      <c r="B140" t="inlineStr">
        <is>
          <t>avverkningsanmälan</t>
        </is>
      </c>
      <c r="C140" t="inlineStr">
        <is>
          <t>Föryngringsavverkning</t>
        </is>
      </c>
      <c r="D140" s="1" t="n">
        <v>46064</v>
      </c>
      <c r="E140" s="1" t="n">
        <v>46261</v>
      </c>
      <c r="F140" t="inlineStr">
        <is>
          <t>UPPSALA LÄN</t>
        </is>
      </c>
      <c r="G140" t="inlineStr">
        <is>
          <t>ENKÖPING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22632-2025</t>
        </is>
      </c>
      <c r="B141" t="inlineStr">
        <is>
          <t>avverkningsanmälan</t>
        </is>
      </c>
      <c r="C141" t="inlineStr">
        <is>
          <t>Föryngringsavverkning</t>
        </is>
      </c>
      <c r="D141" s="1" t="n">
        <v>45789</v>
      </c>
      <c r="E141" s="1" t="n">
        <v>46261</v>
      </c>
      <c r="F141" t="inlineStr">
        <is>
          <t>UPPSALA LÄN</t>
        </is>
      </c>
      <c r="G141" t="inlineStr">
        <is>
          <t>ENKÖPING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30837-2025</t>
        </is>
      </c>
      <c r="B142" t="inlineStr">
        <is>
          <t>avverkningsanmälan</t>
        </is>
      </c>
      <c r="C142" t="inlineStr">
        <is>
          <t>Föryngringsavverkning</t>
        </is>
      </c>
      <c r="D142" s="1" t="n">
        <v>45831</v>
      </c>
      <c r="E142" s="1" t="n">
        <v>46261</v>
      </c>
      <c r="F142" t="inlineStr">
        <is>
          <t>UPPSALA LÄN</t>
        </is>
      </c>
      <c r="G142" t="inlineStr">
        <is>
          <t>ENKÖPING</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9148-2026</t>
        </is>
      </c>
      <c r="B143" t="inlineStr">
        <is>
          <t>avverkningsanmälan</t>
        </is>
      </c>
      <c r="C143" t="inlineStr">
        <is>
          <t>Föryngringsavverkning</t>
        </is>
      </c>
      <c r="D143" s="1" t="n">
        <v>46070</v>
      </c>
      <c r="E143" s="1" t="n">
        <v>46261</v>
      </c>
      <c r="F143" t="inlineStr">
        <is>
          <t>UPPSALA LÄN</t>
        </is>
      </c>
      <c r="G143" t="inlineStr">
        <is>
          <t>ENKÖPING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9467-2026</t>
        </is>
      </c>
      <c r="B144" t="inlineStr">
        <is>
          <t>avverkningsanmälan</t>
        </is>
      </c>
      <c r="C144" t="inlineStr">
        <is>
          <t>Föryngringsavverkning</t>
        </is>
      </c>
      <c r="D144" s="1" t="n">
        <v>46071</v>
      </c>
      <c r="E144" s="1" t="n">
        <v>46261</v>
      </c>
      <c r="F144" t="inlineStr">
        <is>
          <t>UPPSALA LÄN</t>
        </is>
      </c>
      <c r="G144" t="inlineStr">
        <is>
          <t>ENKÖPING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9474-2026</t>
        </is>
      </c>
      <c r="B145" t="inlineStr">
        <is>
          <t>avverkningsanmälan</t>
        </is>
      </c>
      <c r="C145" t="inlineStr">
        <is>
          <t>Föryngringsavverkning</t>
        </is>
      </c>
      <c r="D145" s="1" t="n">
        <v>46071</v>
      </c>
      <c r="E145" s="1" t="n">
        <v>46261</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9469-2026</t>
        </is>
      </c>
      <c r="B146" t="inlineStr">
        <is>
          <t>avverkningsanmälan</t>
        </is>
      </c>
      <c r="C146" t="inlineStr">
        <is>
          <t>Föryngringsavverkning</t>
        </is>
      </c>
      <c r="D146" s="1" t="n">
        <v>46071</v>
      </c>
      <c r="E146" s="1" t="n">
        <v>46261</v>
      </c>
      <c r="F146" t="inlineStr">
        <is>
          <t>UPPSALA LÄN</t>
        </is>
      </c>
      <c r="G146" t="inlineStr">
        <is>
          <t>ENKÖPING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32111-2025</t>
        </is>
      </c>
      <c r="B147" t="inlineStr">
        <is>
          <t>avverkningsanmälan</t>
        </is>
      </c>
      <c r="C147" t="inlineStr">
        <is>
          <t>Föryngringsavverkning</t>
        </is>
      </c>
      <c r="D147" s="1" t="n">
        <v>45835</v>
      </c>
      <c r="E147" s="1" t="n">
        <v>46261</v>
      </c>
      <c r="F147" t="inlineStr">
        <is>
          <t>UPPSALA LÄN</t>
        </is>
      </c>
      <c r="G147" t="inlineStr">
        <is>
          <t>ENKÖPING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46261</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46261</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15740-2025</t>
        </is>
      </c>
      <c r="B150" t="inlineStr">
        <is>
          <t>avverkningsanmälan</t>
        </is>
      </c>
      <c r="C150" t="inlineStr">
        <is>
          <t>Föryngringsavverkning</t>
        </is>
      </c>
      <c r="D150" s="1" t="n">
        <v>45748</v>
      </c>
      <c r="E150" s="1" t="n">
        <v>46261</v>
      </c>
      <c r="F150" t="inlineStr">
        <is>
          <t>UPPSALA LÄN</t>
        </is>
      </c>
      <c r="G150" t="inlineStr">
        <is>
          <t>ENKÖPING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57848-2024</t>
        </is>
      </c>
      <c r="B151" t="inlineStr">
        <is>
          <t>avverkningsanmälan</t>
        </is>
      </c>
      <c r="C151" t="inlineStr">
        <is>
          <t>Föryngringsavverkning</t>
        </is>
      </c>
      <c r="D151" s="1" t="n">
        <v>45631</v>
      </c>
      <c r="E151" s="1" t="n">
        <v>46261</v>
      </c>
      <c r="F151" t="inlineStr">
        <is>
          <t>UPPSALA LÄN</t>
        </is>
      </c>
      <c r="G151" t="inlineStr">
        <is>
          <t>ENKÖPING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18994-2025</t>
        </is>
      </c>
      <c r="B152" t="inlineStr">
        <is>
          <t>avverkningsanmälan</t>
        </is>
      </c>
      <c r="C152" t="inlineStr">
        <is>
          <t>Föryngringsavverkning</t>
        </is>
      </c>
      <c r="D152" s="1" t="n">
        <v>45764</v>
      </c>
      <c r="E152" s="1" t="n">
        <v>46261</v>
      </c>
      <c r="F152" t="inlineStr">
        <is>
          <t>UPPSALA LÄN</t>
        </is>
      </c>
      <c r="G152" t="inlineStr">
        <is>
          <t>ENKÖPING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49601-2024</t>
        </is>
      </c>
      <c r="B153" t="inlineStr">
        <is>
          <t>avverkningsanmälan</t>
        </is>
      </c>
      <c r="C153" t="inlineStr">
        <is>
          <t>Föryngringsavverkning</t>
        </is>
      </c>
      <c r="D153" s="1" t="n">
        <v>45596</v>
      </c>
      <c r="E153" s="1" t="n">
        <v>46261</v>
      </c>
      <c r="F153" t="inlineStr">
        <is>
          <t>UPPSALA LÄN</t>
        </is>
      </c>
      <c r="G153" t="inlineStr">
        <is>
          <t>ENKÖPING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12411-2026</t>
        </is>
      </c>
      <c r="B154" t="inlineStr">
        <is>
          <t>avverkningsanmälan</t>
        </is>
      </c>
      <c r="C154" t="inlineStr">
        <is>
          <t>Avverkning för att bevara och utveckla /försöksver</t>
        </is>
      </c>
      <c r="D154" s="1" t="n">
        <v>46090</v>
      </c>
      <c r="E154" s="1" t="n">
        <v>46261</v>
      </c>
      <c r="F154" t="inlineStr">
        <is>
          <t>UPPSALA LÄN</t>
        </is>
      </c>
      <c r="G154" t="inlineStr">
        <is>
          <t>ENKÖPING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17844-2025</t>
        </is>
      </c>
      <c r="B155" t="inlineStr">
        <is>
          <t>avverkningsanmälan</t>
        </is>
      </c>
      <c r="C155" t="inlineStr">
        <is>
          <t>Föryngringsavverkning</t>
        </is>
      </c>
      <c r="D155" s="1" t="n">
        <v>45758</v>
      </c>
      <c r="E155" s="1" t="n">
        <v>46261</v>
      </c>
      <c r="F155" t="inlineStr">
        <is>
          <t>UPPSALA LÄN</t>
        </is>
      </c>
      <c r="G155" t="inlineStr">
        <is>
          <t>ENKÖPING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5953-2026</t>
        </is>
      </c>
      <c r="B156" t="inlineStr">
        <is>
          <t>avverkningsanmälan</t>
        </is>
      </c>
      <c r="C156" t="inlineStr">
        <is>
          <t>Föryngringsavverkning</t>
        </is>
      </c>
      <c r="D156" s="1" t="n">
        <v>46052</v>
      </c>
      <c r="E156" s="1" t="n">
        <v>46261</v>
      </c>
      <c r="F156" t="inlineStr">
        <is>
          <t>UPPSALA LÄN</t>
        </is>
      </c>
      <c r="G156" t="inlineStr">
        <is>
          <t>ENKÖPING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12996-2026</t>
        </is>
      </c>
      <c r="B157" t="inlineStr">
        <is>
          <t>avverkningsanmälan</t>
        </is>
      </c>
      <c r="C157" t="inlineStr">
        <is>
          <t>Föryngringsavverkning</t>
        </is>
      </c>
      <c r="D157" s="1" t="n">
        <v>46092</v>
      </c>
      <c r="E157" s="1" t="n">
        <v>46261</v>
      </c>
      <c r="F157" t="inlineStr">
        <is>
          <t>UPPSALA LÄN</t>
        </is>
      </c>
      <c r="G157" t="inlineStr">
        <is>
          <t>ENKÖPING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13590-2026</t>
        </is>
      </c>
      <c r="B158" t="inlineStr">
        <is>
          <t>avverkningsanmälan</t>
        </is>
      </c>
      <c r="C158" t="inlineStr">
        <is>
          <t>Avverkning för annat ändamål</t>
        </is>
      </c>
      <c r="D158" s="1" t="n">
        <v>46096</v>
      </c>
      <c r="E158" s="1" t="n">
        <v>46261</v>
      </c>
      <c r="F158" t="inlineStr">
        <is>
          <t>UPPSALA LÄN</t>
        </is>
      </c>
      <c r="G158" t="inlineStr">
        <is>
          <t>ENKÖPING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69344-2021</t>
        </is>
      </c>
      <c r="B159" t="inlineStr">
        <is>
          <t>avverkningsanmälan</t>
        </is>
      </c>
      <c r="C159" t="inlineStr">
        <is>
          <t>Föryngringsavverkning</t>
        </is>
      </c>
      <c r="D159" s="1" t="n">
        <v>44531</v>
      </c>
      <c r="E159" s="1" t="n">
        <v>46261</v>
      </c>
      <c r="F159" t="inlineStr">
        <is>
          <t>UPPSALA LÄN</t>
        </is>
      </c>
      <c r="G159" t="inlineStr">
        <is>
          <t>ENKÖPING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39439-2025</t>
        </is>
      </c>
      <c r="B160" t="inlineStr">
        <is>
          <t>avverkningsanmälan</t>
        </is>
      </c>
      <c r="C160" t="inlineStr">
        <is>
          <t>Föryngringsavverkning</t>
        </is>
      </c>
      <c r="D160" s="1" t="n">
        <v>45889</v>
      </c>
      <c r="E160" s="1" t="n">
        <v>46261</v>
      </c>
      <c r="F160" t="inlineStr">
        <is>
          <t>UPPSALA LÄN</t>
        </is>
      </c>
      <c r="G160" t="inlineStr">
        <is>
          <t>ENKÖPING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14178-2026</t>
        </is>
      </c>
      <c r="B161" t="inlineStr">
        <is>
          <t>avverkningsanmälan</t>
        </is>
      </c>
      <c r="C161" t="inlineStr">
        <is>
          <t>Föryngringsavverkning</t>
        </is>
      </c>
      <c r="D161" s="1" t="n">
        <v>46099</v>
      </c>
      <c r="E161" s="1" t="n">
        <v>46261</v>
      </c>
      <c r="F161" t="inlineStr">
        <is>
          <t>UPPSALA LÄN</t>
        </is>
      </c>
      <c r="G161" t="inlineStr">
        <is>
          <t>ENKÖPING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21501-2025</t>
        </is>
      </c>
      <c r="B162" t="inlineStr">
        <is>
          <t>avverkningsanmälan</t>
        </is>
      </c>
      <c r="C162" t="inlineStr">
        <is>
          <t>Föryngringsavverkning</t>
        </is>
      </c>
      <c r="D162" s="1" t="n">
        <v>45782</v>
      </c>
      <c r="E162" s="1" t="n">
        <v>46261</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14260-2026</t>
        </is>
      </c>
      <c r="B163" t="inlineStr">
        <is>
          <t>avverkningsanmälan</t>
        </is>
      </c>
      <c r="C163" t="inlineStr">
        <is>
          <t>Föryngringsavverkning</t>
        </is>
      </c>
      <c r="D163" s="1" t="n">
        <v>46099</v>
      </c>
      <c r="E163" s="1" t="n">
        <v>46261</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14298-2026</t>
        </is>
      </c>
      <c r="B164" t="inlineStr">
        <is>
          <t>avverkningsanmälan</t>
        </is>
      </c>
      <c r="C164" t="inlineStr">
        <is>
          <t>Föryngringsavverkning</t>
        </is>
      </c>
      <c r="D164" s="1" t="n">
        <v>46099</v>
      </c>
      <c r="E164" s="1" t="n">
        <v>46261</v>
      </c>
      <c r="F164" t="inlineStr">
        <is>
          <t>UPPSALA LÄN</t>
        </is>
      </c>
      <c r="G164" t="inlineStr">
        <is>
          <t>ENKÖPING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43103-2025</t>
        </is>
      </c>
      <c r="B165" t="inlineStr">
        <is>
          <t>avverkningsanmälan</t>
        </is>
      </c>
      <c r="C165" t="inlineStr">
        <is>
          <t>Avverkning för annat ändamål</t>
        </is>
      </c>
      <c r="D165" s="1" t="n">
        <v>45909</v>
      </c>
      <c r="E165" s="1" t="n">
        <v>46261</v>
      </c>
      <c r="F165" t="inlineStr">
        <is>
          <t>UPPSALA LÄN</t>
        </is>
      </c>
      <c r="G165" t="inlineStr">
        <is>
          <t>ENKÖPING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14182-2026</t>
        </is>
      </c>
      <c r="B166" t="inlineStr">
        <is>
          <t>avverkningsanmälan</t>
        </is>
      </c>
      <c r="C166" t="inlineStr">
        <is>
          <t>Föryngringsavverkning</t>
        </is>
      </c>
      <c r="D166" s="1" t="n">
        <v>46099</v>
      </c>
      <c r="E166" s="1" t="n">
        <v>46261</v>
      </c>
      <c r="F166" t="inlineStr">
        <is>
          <t>UPPSALA LÄN</t>
        </is>
      </c>
      <c r="G166" t="inlineStr">
        <is>
          <t>ENKÖPING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14296-2026</t>
        </is>
      </c>
      <c r="B167" t="inlineStr">
        <is>
          <t>avverkningsanmälan</t>
        </is>
      </c>
      <c r="C167" t="inlineStr">
        <is>
          <t>Föryngringsavverkning</t>
        </is>
      </c>
      <c r="D167" s="1" t="n">
        <v>46099</v>
      </c>
      <c r="E167" s="1" t="n">
        <v>46261</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49073-2025</t>
        </is>
      </c>
      <c r="B168" t="inlineStr">
        <is>
          <t>avverkningsanmälan</t>
        </is>
      </c>
      <c r="C168" t="inlineStr">
        <is>
          <t>Föryngringsavverkning</t>
        </is>
      </c>
      <c r="D168" s="1" t="n">
        <v>45937</v>
      </c>
      <c r="E168" s="1" t="n">
        <v>46261</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36350-2025</t>
        </is>
      </c>
      <c r="B169" t="inlineStr">
        <is>
          <t>avverkningsanmälan</t>
        </is>
      </c>
      <c r="C169" t="inlineStr">
        <is>
          <t>Föryngringsavverkning</t>
        </is>
      </c>
      <c r="D169" s="1" t="n">
        <v>45868</v>
      </c>
      <c r="E169" s="1" t="n">
        <v>46261</v>
      </c>
      <c r="F169" t="inlineStr">
        <is>
          <t>UPPSALA LÄN</t>
        </is>
      </c>
      <c r="G169" t="inlineStr">
        <is>
          <t>ENKÖPING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15003-2026</t>
        </is>
      </c>
      <c r="B170" t="inlineStr">
        <is>
          <t>avverkningsanmälan</t>
        </is>
      </c>
      <c r="C170" t="inlineStr">
        <is>
          <t>Föryngringsavverkning</t>
        </is>
      </c>
      <c r="D170" s="1" t="n">
        <v>46104</v>
      </c>
      <c r="E170" s="1" t="n">
        <v>46261</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36599-2025</t>
        </is>
      </c>
      <c r="B171" t="inlineStr">
        <is>
          <t>avverkningsanmälan</t>
        </is>
      </c>
      <c r="C171" t="inlineStr">
        <is>
          <t>Föryngringsavverkning</t>
        </is>
      </c>
      <c r="D171" s="1" t="n">
        <v>45870</v>
      </c>
      <c r="E171" s="1" t="n">
        <v>46261</v>
      </c>
      <c r="F171" t="inlineStr">
        <is>
          <t>UPPSALA LÄN</t>
        </is>
      </c>
      <c r="G171" t="inlineStr">
        <is>
          <t>ENKÖPING</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51162-2025</t>
        </is>
      </c>
      <c r="B172" t="inlineStr">
        <is>
          <t>avverkningsanmälan</t>
        </is>
      </c>
      <c r="C172" t="inlineStr">
        <is>
          <t>Föryngringsavverkning</t>
        </is>
      </c>
      <c r="D172" s="1" t="n">
        <v>45947</v>
      </c>
      <c r="E172" s="1" t="n">
        <v>46261</v>
      </c>
      <c r="F172" t="inlineStr">
        <is>
          <t>UPPSALA LÄN</t>
        </is>
      </c>
      <c r="G172" t="inlineStr">
        <is>
          <t>ENKÖPING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27983-2024</t>
        </is>
      </c>
      <c r="B173" t="inlineStr">
        <is>
          <t>avverkningsanmälan</t>
        </is>
      </c>
      <c r="C173" t="inlineStr">
        <is>
          <t>Föryngringsavverkning</t>
        </is>
      </c>
      <c r="D173" s="1" t="n">
        <v>45476</v>
      </c>
      <c r="E173" s="1" t="n">
        <v>46261</v>
      </c>
      <c r="F173" t="inlineStr">
        <is>
          <t>UPPSALA LÄN</t>
        </is>
      </c>
      <c r="G173" t="inlineStr">
        <is>
          <t>ENKÖPING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15547-2026</t>
        </is>
      </c>
      <c r="B174" t="inlineStr">
        <is>
          <t>avverkningsanmälan</t>
        </is>
      </c>
      <c r="C174" t="inlineStr">
        <is>
          <t>Föryngringsavverkning</t>
        </is>
      </c>
      <c r="D174" s="1" t="n">
        <v>46106</v>
      </c>
      <c r="E174" s="1" t="n">
        <v>46261</v>
      </c>
      <c r="F174" t="inlineStr">
        <is>
          <t>UPPSALA LÄN</t>
        </is>
      </c>
      <c r="G174" t="inlineStr">
        <is>
          <t>ENKÖPING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49622-2024</t>
        </is>
      </c>
      <c r="B175" t="inlineStr">
        <is>
          <t>avverkningsanmälan</t>
        </is>
      </c>
      <c r="C175" t="inlineStr">
        <is>
          <t>Föryngringsavverkning</t>
        </is>
      </c>
      <c r="D175" s="1" t="n">
        <v>45596</v>
      </c>
      <c r="E175" s="1" t="n">
        <v>46261</v>
      </c>
      <c r="F175" t="inlineStr">
        <is>
          <t>UPPSALA LÄN</t>
        </is>
      </c>
      <c r="G175" t="inlineStr">
        <is>
          <t>ENKÖPING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26017-2025</t>
        </is>
      </c>
      <c r="B176" t="inlineStr">
        <is>
          <t>avverkningsanmälan</t>
        </is>
      </c>
      <c r="C176" t="inlineStr">
        <is>
          <t>Föryngringsavverkning</t>
        </is>
      </c>
      <c r="D176" s="1" t="n">
        <v>45804</v>
      </c>
      <c r="E176" s="1" t="n">
        <v>46261</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22912-2024</t>
        </is>
      </c>
      <c r="B177" t="inlineStr">
        <is>
          <t>avverkningsanmälan</t>
        </is>
      </c>
      <c r="C177" t="inlineStr">
        <is>
          <t>Föryngringsavverkning</t>
        </is>
      </c>
      <c r="D177" s="1" t="n">
        <v>45448</v>
      </c>
      <c r="E177" s="1" t="n">
        <v>46261</v>
      </c>
      <c r="F177" t="inlineStr">
        <is>
          <t>UPPSALA LÄN</t>
        </is>
      </c>
      <c r="G177" t="inlineStr">
        <is>
          <t>ENKÖPING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21017-2023</t>
        </is>
      </c>
      <c r="B178" t="inlineStr">
        <is>
          <t>avverkningsanmälan</t>
        </is>
      </c>
      <c r="C178" t="inlineStr">
        <is>
          <t>Föryngringsavverkning</t>
        </is>
      </c>
      <c r="D178" s="1" t="n">
        <v>45061</v>
      </c>
      <c r="E178" s="1" t="n">
        <v>46261</v>
      </c>
      <c r="F178" t="inlineStr">
        <is>
          <t>UPPSALA LÄN</t>
        </is>
      </c>
      <c r="G178" t="inlineStr">
        <is>
          <t>ENKÖPING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56176-2021</t>
        </is>
      </c>
      <c r="B179" t="inlineStr">
        <is>
          <t>avverkningsanmälan</t>
        </is>
      </c>
      <c r="C179" t="inlineStr">
        <is>
          <t>Föryngringsavverkning</t>
        </is>
      </c>
      <c r="D179" s="1" t="n">
        <v>44477</v>
      </c>
      <c r="E179" s="1" t="n">
        <v>46261</v>
      </c>
      <c r="F179" t="inlineStr">
        <is>
          <t>UPPSALA LÄN</t>
        </is>
      </c>
      <c r="G179" t="inlineStr">
        <is>
          <t>ENKÖPING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9667-2024</t>
        </is>
      </c>
      <c r="B180" t="inlineStr">
        <is>
          <t>avverkningsanmälan</t>
        </is>
      </c>
      <c r="C180" t="inlineStr">
        <is>
          <t>Föryngringsavverkning</t>
        </is>
      </c>
      <c r="D180" s="1" t="n">
        <v>45362</v>
      </c>
      <c r="E180" s="1" t="n">
        <v>46261</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17418-2026</t>
        </is>
      </c>
      <c r="B181" t="inlineStr">
        <is>
          <t>avverkningsanmälan</t>
        </is>
      </c>
      <c r="C181" t="inlineStr">
        <is>
          <t>Föryngringsavverkning</t>
        </is>
      </c>
      <c r="D181" s="1" t="n">
        <v>46120</v>
      </c>
      <c r="E181" s="1" t="n">
        <v>46261</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17419-2026</t>
        </is>
      </c>
      <c r="B182" t="inlineStr">
        <is>
          <t>avverkningsanmälan</t>
        </is>
      </c>
      <c r="C182" t="inlineStr">
        <is>
          <t>Föryngringsavverkning</t>
        </is>
      </c>
      <c r="D182" s="1" t="n">
        <v>46120</v>
      </c>
      <c r="E182" s="1" t="n">
        <v>46261</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18565-2026</t>
        </is>
      </c>
      <c r="B183" t="inlineStr">
        <is>
          <t>avverkningsanmälan</t>
        </is>
      </c>
      <c r="C183" t="inlineStr">
        <is>
          <t>Föryngringsavverkning</t>
        </is>
      </c>
      <c r="D183" s="1" t="n">
        <v>46127</v>
      </c>
      <c r="E183" s="1" t="n">
        <v>46261</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16967-2022</t>
        </is>
      </c>
      <c r="B184" t="inlineStr">
        <is>
          <t>avverkningsanmälan</t>
        </is>
      </c>
      <c r="C184" t="inlineStr">
        <is>
          <t>Föryngringsavverkning</t>
        </is>
      </c>
      <c r="D184" s="1" t="n">
        <v>44676</v>
      </c>
      <c r="E184" s="1" t="n">
        <v>46261</v>
      </c>
      <c r="F184" t="inlineStr">
        <is>
          <t>UPPSALA LÄN</t>
        </is>
      </c>
      <c r="G184" t="inlineStr">
        <is>
          <t>ENKÖPING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40773-2022</t>
        </is>
      </c>
      <c r="B185" t="inlineStr">
        <is>
          <t>avverkningsanmälan</t>
        </is>
      </c>
      <c r="C185" t="inlineStr">
        <is>
          <t>Föryngringsavverkning</t>
        </is>
      </c>
      <c r="D185" s="1" t="n">
        <v>44824</v>
      </c>
      <c r="E185" s="1" t="n">
        <v>46261</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18562-2026</t>
        </is>
      </c>
      <c r="B186" t="inlineStr">
        <is>
          <t>avverkningsanmälan</t>
        </is>
      </c>
      <c r="C186" t="inlineStr">
        <is>
          <t>Föryngringsavverkning</t>
        </is>
      </c>
      <c r="D186" s="1" t="n">
        <v>46127</v>
      </c>
      <c r="E186" s="1" t="n">
        <v>46261</v>
      </c>
      <c r="F186" t="inlineStr">
        <is>
          <t>UPPSALA LÄN</t>
        </is>
      </c>
      <c r="G186" t="inlineStr">
        <is>
          <t>ENKÖPING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62599-2025</t>
        </is>
      </c>
      <c r="B187" t="inlineStr">
        <is>
          <t>avverkningsanmälan</t>
        </is>
      </c>
      <c r="C187" t="inlineStr">
        <is>
          <t>Föryngringsavverkning</t>
        </is>
      </c>
      <c r="D187" s="1" t="n">
        <v>46007</v>
      </c>
      <c r="E187" s="1" t="n">
        <v>46261</v>
      </c>
      <c r="F187" t="inlineStr">
        <is>
          <t>UPPSALA LÄN</t>
        </is>
      </c>
      <c r="G187" t="inlineStr">
        <is>
          <t>ENKÖPING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2850-2025</t>
        </is>
      </c>
      <c r="B188" t="inlineStr">
        <is>
          <t>avverkningsanmälan</t>
        </is>
      </c>
      <c r="C188" t="inlineStr">
        <is>
          <t>Föryngringsavverkning</t>
        </is>
      </c>
      <c r="D188" s="1" t="n">
        <v>45677</v>
      </c>
      <c r="E188" s="1" t="n">
        <v>46261</v>
      </c>
      <c r="F188" t="inlineStr">
        <is>
          <t>UPPSALA LÄN</t>
        </is>
      </c>
      <c r="G188" t="inlineStr">
        <is>
          <t>ENKÖPING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43506-2023</t>
        </is>
      </c>
      <c r="B189" t="inlineStr">
        <is>
          <t>avverkningsanmälan</t>
        </is>
      </c>
      <c r="C189" t="inlineStr">
        <is>
          <t>Föryngringsavverkning</t>
        </is>
      </c>
      <c r="D189" s="1" t="n">
        <v>45181</v>
      </c>
      <c r="E189" s="1" t="n">
        <v>46261</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18643-2026</t>
        </is>
      </c>
      <c r="B190" t="inlineStr">
        <is>
          <t>avverkningsanmälan</t>
        </is>
      </c>
      <c r="C190" t="inlineStr">
        <is>
          <t>Föryngringsavverkning</t>
        </is>
      </c>
      <c r="D190" s="1" t="n">
        <v>46128</v>
      </c>
      <c r="E190" s="1" t="n">
        <v>46261</v>
      </c>
      <c r="F190" t="inlineStr">
        <is>
          <t>UPPSALA LÄN</t>
        </is>
      </c>
      <c r="G190" t="inlineStr">
        <is>
          <t>ENKÖPING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18644-2026</t>
        </is>
      </c>
      <c r="B191" t="inlineStr">
        <is>
          <t>avverkningsanmälan</t>
        </is>
      </c>
      <c r="C191" t="inlineStr">
        <is>
          <t>Föryngringsavverkning</t>
        </is>
      </c>
      <c r="D191" s="1" t="n">
        <v>46128</v>
      </c>
      <c r="E191" s="1" t="n">
        <v>46261</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54844-2025</t>
        </is>
      </c>
      <c r="B192" t="inlineStr">
        <is>
          <t>avverkningsanmälan</t>
        </is>
      </c>
      <c r="C192" t="inlineStr">
        <is>
          <t>Föryngringsavverkning</t>
        </is>
      </c>
      <c r="D192" s="1" t="n">
        <v>45966</v>
      </c>
      <c r="E192" s="1" t="n">
        <v>46261</v>
      </c>
      <c r="F192" t="inlineStr">
        <is>
          <t>UPPSALA LÄN</t>
        </is>
      </c>
      <c r="G192" t="inlineStr">
        <is>
          <t>ENKÖPING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9257-2026</t>
        </is>
      </c>
      <c r="B193" t="inlineStr">
        <is>
          <t>avverkningsanmälan</t>
        </is>
      </c>
      <c r="C193" t="inlineStr">
        <is>
          <t>Föryngringsavverkning</t>
        </is>
      </c>
      <c r="D193" s="1" t="n">
        <v>46070</v>
      </c>
      <c r="E193" s="1" t="n">
        <v>46261</v>
      </c>
      <c r="F193" t="inlineStr">
        <is>
          <t>UPPSALA LÄN</t>
        </is>
      </c>
      <c r="G193" t="inlineStr">
        <is>
          <t>ENKÖPING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14004-2023</t>
        </is>
      </c>
      <c r="B194" t="inlineStr">
        <is>
          <t>avverkningsanmälan</t>
        </is>
      </c>
      <c r="C194" t="inlineStr">
        <is>
          <t>Föryngringsavverkning</t>
        </is>
      </c>
      <c r="D194" s="1" t="n">
        <v>45008</v>
      </c>
      <c r="E194" s="1" t="n">
        <v>46261</v>
      </c>
      <c r="F194" t="inlineStr">
        <is>
          <t>UPPSALA LÄN</t>
        </is>
      </c>
      <c r="G194" t="inlineStr">
        <is>
          <t>ENKÖPING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18806-2026</t>
        </is>
      </c>
      <c r="B195" t="inlineStr">
        <is>
          <t>avverkningsanmälan</t>
        </is>
      </c>
      <c r="C195" t="inlineStr">
        <is>
          <t>Föryngringsavverkning</t>
        </is>
      </c>
      <c r="D195" s="1" t="n">
        <v>46128</v>
      </c>
      <c r="E195" s="1" t="n">
        <v>46261</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57294-2025</t>
        </is>
      </c>
      <c r="B196" t="inlineStr">
        <is>
          <t>avverkningsanmälan</t>
        </is>
      </c>
      <c r="C196" t="inlineStr">
        <is>
          <t>Föryngringsavverkning</t>
        </is>
      </c>
      <c r="D196" s="1" t="n">
        <v>45979</v>
      </c>
      <c r="E196" s="1" t="n">
        <v>46261</v>
      </c>
      <c r="F196" t="inlineStr">
        <is>
          <t>UPPSALA LÄN</t>
        </is>
      </c>
      <c r="G196" t="inlineStr">
        <is>
          <t>ENKÖPING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10465-2022</t>
        </is>
      </c>
      <c r="B197" t="inlineStr">
        <is>
          <t>avverkningsanmälan</t>
        </is>
      </c>
      <c r="C197" t="inlineStr">
        <is>
          <t>Föryngringsavverkning</t>
        </is>
      </c>
      <c r="D197" s="1" t="n">
        <v>44623</v>
      </c>
      <c r="E197" s="1" t="n">
        <v>46261</v>
      </c>
      <c r="F197" t="inlineStr">
        <is>
          <t>UPPSALA LÄN</t>
        </is>
      </c>
      <c r="G197" t="inlineStr">
        <is>
          <t>ENKÖPING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57188-2025</t>
        </is>
      </c>
      <c r="B198" t="inlineStr">
        <is>
          <t>avverkningsanmälan</t>
        </is>
      </c>
      <c r="C198" t="inlineStr">
        <is>
          <t>Föryngringsavverkning</t>
        </is>
      </c>
      <c r="D198" s="1" t="n">
        <v>45979</v>
      </c>
      <c r="E198" s="1" t="n">
        <v>46261</v>
      </c>
      <c r="F198" t="inlineStr">
        <is>
          <t>UPPSALA LÄN</t>
        </is>
      </c>
      <c r="G198" t="inlineStr">
        <is>
          <t>ENKÖPING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61207-2023</t>
        </is>
      </c>
      <c r="B199" t="inlineStr">
        <is>
          <t>avverkningsanmälan</t>
        </is>
      </c>
      <c r="C199" t="inlineStr">
        <is>
          <t>Föryngringsavverkning</t>
        </is>
      </c>
      <c r="D199" s="1" t="n">
        <v>45264</v>
      </c>
      <c r="E199" s="1" t="n">
        <v>46261</v>
      </c>
      <c r="F199" t="inlineStr">
        <is>
          <t>UPPSALA LÄN</t>
        </is>
      </c>
      <c r="G199" t="inlineStr">
        <is>
          <t>ENKÖPING</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59964-2025</t>
        </is>
      </c>
      <c r="B200" t="inlineStr">
        <is>
          <t>avverkningsanmälan</t>
        </is>
      </c>
      <c r="C200" t="inlineStr">
        <is>
          <t>Föryngringsavverkning</t>
        </is>
      </c>
      <c r="D200" s="1" t="n">
        <v>45993</v>
      </c>
      <c r="E200" s="1" t="n">
        <v>46261</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46261</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60340-2025</t>
        </is>
      </c>
      <c r="B202" t="inlineStr">
        <is>
          <t>avverkningsanmälan</t>
        </is>
      </c>
      <c r="C202" t="inlineStr">
        <is>
          <t>Föryngringsavverkning</t>
        </is>
      </c>
      <c r="D202" s="1" t="n">
        <v>45994</v>
      </c>
      <c r="E202" s="1" t="n">
        <v>46261</v>
      </c>
      <c r="F202" t="inlineStr">
        <is>
          <t>UPPSALA LÄN</t>
        </is>
      </c>
      <c r="G202" t="inlineStr">
        <is>
          <t>ENKÖPING</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42564-2024</t>
        </is>
      </c>
      <c r="B203" t="inlineStr">
        <is>
          <t>avverkningsanmälan</t>
        </is>
      </c>
      <c r="C203" t="inlineStr">
        <is>
          <t>Föryngringsavverkning</t>
        </is>
      </c>
      <c r="D203" s="1" t="n">
        <v>45565</v>
      </c>
      <c r="E203" s="1" t="n">
        <v>46261</v>
      </c>
      <c r="F203" t="inlineStr">
        <is>
          <t>UPPSALA LÄN</t>
        </is>
      </c>
      <c r="G203" t="inlineStr">
        <is>
          <t>ENKÖPING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28862-2025</t>
        </is>
      </c>
      <c r="B204" t="inlineStr">
        <is>
          <t>avverkningsanmälan</t>
        </is>
      </c>
      <c r="C204" t="inlineStr">
        <is>
          <t>Föryngringsavverkning</t>
        </is>
      </c>
      <c r="D204" s="1" t="n">
        <v>45820</v>
      </c>
      <c r="E204" s="1" t="n">
        <v>46261</v>
      </c>
      <c r="F204" t="inlineStr">
        <is>
          <t>UPPSALA LÄN</t>
        </is>
      </c>
      <c r="G204" t="inlineStr">
        <is>
          <t>ENKÖPING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60947-2025</t>
        </is>
      </c>
      <c r="B205" t="inlineStr">
        <is>
          <t>avverkningsanmälan</t>
        </is>
      </c>
      <c r="C205" t="inlineStr">
        <is>
          <t>Föryngringsavverkning</t>
        </is>
      </c>
      <c r="D205" s="1" t="n">
        <v>45999</v>
      </c>
      <c r="E205" s="1" t="n">
        <v>46261</v>
      </c>
      <c r="F205" t="inlineStr">
        <is>
          <t>UPPSALA LÄN</t>
        </is>
      </c>
      <c r="G205" t="inlineStr">
        <is>
          <t>ENKÖPING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43691-2024</t>
        </is>
      </c>
      <c r="B206" t="inlineStr">
        <is>
          <t>avverkningsanmälan</t>
        </is>
      </c>
      <c r="C206" t="inlineStr">
        <is>
          <t>Föryngringsavverkning</t>
        </is>
      </c>
      <c r="D206" s="1" t="n">
        <v>45569</v>
      </c>
      <c r="E206" s="1" t="n">
        <v>46261</v>
      </c>
      <c r="F206" t="inlineStr">
        <is>
          <t>UPPSALA LÄN</t>
        </is>
      </c>
      <c r="G206" t="inlineStr">
        <is>
          <t>ENKÖPING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43697-2024</t>
        </is>
      </c>
      <c r="B207" t="inlineStr">
        <is>
          <t>avverkningsanmälan</t>
        </is>
      </c>
      <c r="C207" t="inlineStr">
        <is>
          <t>Föryngringsavverkning</t>
        </is>
      </c>
      <c r="D207" s="1" t="n">
        <v>45569</v>
      </c>
      <c r="E207" s="1" t="n">
        <v>46261</v>
      </c>
      <c r="F207" t="inlineStr">
        <is>
          <t>UPPSALA LÄN</t>
        </is>
      </c>
      <c r="G207" t="inlineStr">
        <is>
          <t>ENKÖPING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60934-2025</t>
        </is>
      </c>
      <c r="B208" t="inlineStr">
        <is>
          <t>avverkningsanmälan</t>
        </is>
      </c>
      <c r="C208" t="inlineStr">
        <is>
          <t>Föryngringsavverkning</t>
        </is>
      </c>
      <c r="D208" s="1" t="n">
        <v>45999</v>
      </c>
      <c r="E208" s="1" t="n">
        <v>46261</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61437-2025</t>
        </is>
      </c>
      <c r="B209" t="inlineStr">
        <is>
          <t>avverkningsanmälan</t>
        </is>
      </c>
      <c r="C209" t="inlineStr">
        <is>
          <t>Föryngringsavverkning</t>
        </is>
      </c>
      <c r="D209" s="1" t="n">
        <v>46001</v>
      </c>
      <c r="E209" s="1" t="n">
        <v>46261</v>
      </c>
      <c r="F209" t="inlineStr">
        <is>
          <t>UPPSALA LÄN</t>
        </is>
      </c>
      <c r="G209" t="inlineStr">
        <is>
          <t>ENKÖPING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2164-2023</t>
        </is>
      </c>
      <c r="B210" t="inlineStr">
        <is>
          <t>avverkningsanmälan</t>
        </is>
      </c>
      <c r="C210" t="inlineStr">
        <is>
          <t>Föryngringsavverkning</t>
        </is>
      </c>
      <c r="D210" s="1" t="n">
        <v>44941</v>
      </c>
      <c r="E210" s="1" t="n">
        <v>46261</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37498-2025</t>
        </is>
      </c>
      <c r="B211" t="inlineStr">
        <is>
          <t>avverkningsanmälan</t>
        </is>
      </c>
      <c r="C211" t="inlineStr">
        <is>
          <t>Föryngringsavverkning</t>
        </is>
      </c>
      <c r="D211" s="1" t="n">
        <v>45877</v>
      </c>
      <c r="E211" s="1" t="n">
        <v>46261</v>
      </c>
      <c r="F211" t="inlineStr">
        <is>
          <t>UPPSALA LÄN</t>
        </is>
      </c>
      <c r="G211" t="inlineStr">
        <is>
          <t>ENKÖPING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29513-2025</t>
        </is>
      </c>
      <c r="B212" t="inlineStr">
        <is>
          <t>avverkningsanmälan</t>
        </is>
      </c>
      <c r="C212" t="inlineStr">
        <is>
          <t>Föryngringsavverkning</t>
        </is>
      </c>
      <c r="D212" s="1" t="n">
        <v>45825</v>
      </c>
      <c r="E212" s="1" t="n">
        <v>46261</v>
      </c>
      <c r="F212" t="inlineStr">
        <is>
          <t>UPPSALA LÄN</t>
        </is>
      </c>
      <c r="G212" t="inlineStr">
        <is>
          <t>ENKÖPING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61889-2025</t>
        </is>
      </c>
      <c r="B213" t="inlineStr">
        <is>
          <t>avverkningsanmälan</t>
        </is>
      </c>
      <c r="C213" t="inlineStr">
        <is>
          <t>Föryngringsavverkning</t>
        </is>
      </c>
      <c r="D213" s="1" t="n">
        <v>46003</v>
      </c>
      <c r="E213" s="1" t="n">
        <v>46261</v>
      </c>
      <c r="F213" t="inlineStr">
        <is>
          <t>UPPSALA LÄN</t>
        </is>
      </c>
      <c r="G213" t="inlineStr">
        <is>
          <t>ENKÖPING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33955-2024</t>
        </is>
      </c>
      <c r="B214" t="inlineStr">
        <is>
          <t>avverkningsanmälan</t>
        </is>
      </c>
      <c r="C214" t="inlineStr">
        <is>
          <t>Föryngringsavverkning</t>
        </is>
      </c>
      <c r="D214" s="1" t="n">
        <v>45523</v>
      </c>
      <c r="E214" s="1" t="n">
        <v>46261</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6172-2023</t>
        </is>
      </c>
      <c r="B215" t="inlineStr">
        <is>
          <t>avverkningsanmälan</t>
        </is>
      </c>
      <c r="C215" t="inlineStr">
        <is>
          <t>Föryngringsavverkning</t>
        </is>
      </c>
      <c r="D215" s="1" t="n">
        <v>44964</v>
      </c>
      <c r="E215" s="1" t="n">
        <v>46261</v>
      </c>
      <c r="F215" t="inlineStr">
        <is>
          <t>UPPSALA LÄN</t>
        </is>
      </c>
      <c r="G215" t="inlineStr">
        <is>
          <t>ENKÖPING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62601-2025</t>
        </is>
      </c>
      <c r="B216" t="inlineStr">
        <is>
          <t>avverkningsanmälan</t>
        </is>
      </c>
      <c r="C216" t="inlineStr">
        <is>
          <t>Föryngringsavverkning</t>
        </is>
      </c>
      <c r="D216" s="1" t="n">
        <v>46007</v>
      </c>
      <c r="E216" s="1" t="n">
        <v>46261</v>
      </c>
      <c r="F216" t="inlineStr">
        <is>
          <t>UPPSALA LÄN</t>
        </is>
      </c>
      <c r="G216" t="inlineStr">
        <is>
          <t>ENKÖPING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62602-2025</t>
        </is>
      </c>
      <c r="B217" t="inlineStr">
        <is>
          <t>avverkningsanmälan</t>
        </is>
      </c>
      <c r="C217" t="inlineStr">
        <is>
          <t>Föryngringsavverkning</t>
        </is>
      </c>
      <c r="D217" s="1" t="n">
        <v>46007</v>
      </c>
      <c r="E217" s="1" t="n">
        <v>46261</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62600-2025</t>
        </is>
      </c>
      <c r="B218" t="inlineStr">
        <is>
          <t>avverkningsanmälan</t>
        </is>
      </c>
      <c r="C218" t="inlineStr">
        <is>
          <t>Föryngringsavverkning</t>
        </is>
      </c>
      <c r="D218" s="1" t="n">
        <v>46007</v>
      </c>
      <c r="E218" s="1" t="n">
        <v>46261</v>
      </c>
      <c r="F218" t="inlineStr">
        <is>
          <t>UPPSALA LÄN</t>
        </is>
      </c>
      <c r="G218" t="inlineStr">
        <is>
          <t>ENKÖPING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63128-2025</t>
        </is>
      </c>
      <c r="B219" t="inlineStr">
        <is>
          <t>avverkningsanmälan</t>
        </is>
      </c>
      <c r="C219" t="inlineStr">
        <is>
          <t>Föryngringsavverkning</t>
        </is>
      </c>
      <c r="D219" s="1" t="n">
        <v>46009</v>
      </c>
      <c r="E219" s="1" t="n">
        <v>46261</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21686-2022</t>
        </is>
      </c>
      <c r="B220" t="inlineStr">
        <is>
          <t>avverkningsanmälan</t>
        </is>
      </c>
      <c r="C220" t="inlineStr">
        <is>
          <t>Föryngringsavverkning</t>
        </is>
      </c>
      <c r="D220" s="1" t="n">
        <v>44707</v>
      </c>
      <c r="E220" s="1" t="n">
        <v>46261</v>
      </c>
      <c r="F220" t="inlineStr">
        <is>
          <t>UPPSALA LÄN</t>
        </is>
      </c>
      <c r="G220" t="inlineStr">
        <is>
          <t>ENKÖPING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29479-2022</t>
        </is>
      </c>
      <c r="B221" t="inlineStr">
        <is>
          <t>avverkningsanmälan</t>
        </is>
      </c>
      <c r="C221" t="inlineStr">
        <is>
          <t>Föryngringsavverkning</t>
        </is>
      </c>
      <c r="D221" s="1" t="n">
        <v>44753</v>
      </c>
      <c r="E221" s="1" t="n">
        <v>46261</v>
      </c>
      <c r="F221" t="inlineStr">
        <is>
          <t>UPPSALA LÄN</t>
        </is>
      </c>
      <c r="G221" t="inlineStr">
        <is>
          <t>ENKÖPING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21862-2026</t>
        </is>
      </c>
      <c r="B222" t="inlineStr">
        <is>
          <t>avverkningsanmälan</t>
        </is>
      </c>
      <c r="C222" t="inlineStr">
        <is>
          <t>Föryngringsavverkning</t>
        </is>
      </c>
      <c r="D222" s="1" t="n">
        <v>46150</v>
      </c>
      <c r="E222" s="1" t="n">
        <v>46261</v>
      </c>
      <c r="F222" t="inlineStr">
        <is>
          <t>UPPSALA LÄN</t>
        </is>
      </c>
      <c r="G222" t="inlineStr">
        <is>
          <t>ENKÖPING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49525-2021</t>
        </is>
      </c>
      <c r="B223" t="inlineStr">
        <is>
          <t>avverkningsanmälan</t>
        </is>
      </c>
      <c r="C223" t="inlineStr">
        <is>
          <t>Föryngringsavverkning</t>
        </is>
      </c>
      <c r="D223" s="1" t="n">
        <v>44455</v>
      </c>
      <c r="E223" s="1" t="n">
        <v>46261</v>
      </c>
      <c r="F223" t="inlineStr">
        <is>
          <t>UPPSALA LÄN</t>
        </is>
      </c>
      <c r="G223" t="inlineStr">
        <is>
          <t>ENKÖPING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22315-2026</t>
        </is>
      </c>
      <c r="B224" t="inlineStr">
        <is>
          <t>avverkningsanmälan</t>
        </is>
      </c>
      <c r="C224" t="inlineStr">
        <is>
          <t>Föryngringsavverkning</t>
        </is>
      </c>
      <c r="D224" s="1" t="n">
        <v>46154</v>
      </c>
      <c r="E224" s="1" t="n">
        <v>46261</v>
      </c>
      <c r="F224" t="inlineStr">
        <is>
          <t>UPPSALA LÄN</t>
        </is>
      </c>
      <c r="G224" t="inlineStr">
        <is>
          <t>ENKÖPING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57328-2024</t>
        </is>
      </c>
      <c r="B225" t="inlineStr">
        <is>
          <t>avverkningsanmälan</t>
        </is>
      </c>
      <c r="C225" t="inlineStr">
        <is>
          <t>Föryngringsavverkning</t>
        </is>
      </c>
      <c r="D225" s="1" t="n">
        <v>45629</v>
      </c>
      <c r="E225" s="1" t="n">
        <v>46261</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23202-2026</t>
        </is>
      </c>
      <c r="B226" t="inlineStr">
        <is>
          <t>avverkningsanmälan</t>
        </is>
      </c>
      <c r="C226" t="inlineStr">
        <is>
          <t>Avverkning för annat ändamål</t>
        </is>
      </c>
      <c r="D226" s="1" t="n">
        <v>46162</v>
      </c>
      <c r="E226" s="1" t="n">
        <v>46261</v>
      </c>
      <c r="F226" t="inlineStr">
        <is>
          <t>UPPSALA LÄN</t>
        </is>
      </c>
      <c r="G226" t="inlineStr">
        <is>
          <t>ENKÖPING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6041-2026</t>
        </is>
      </c>
      <c r="B227" t="inlineStr">
        <is>
          <t>avverkningsanmälan</t>
        </is>
      </c>
      <c r="C227" t="inlineStr">
        <is>
          <t>Föryngringsavverkning</t>
        </is>
      </c>
      <c r="D227" s="1" t="n">
        <v>46052</v>
      </c>
      <c r="E227" s="1" t="n">
        <v>46261</v>
      </c>
      <c r="F227" t="inlineStr">
        <is>
          <t>UPPSALA LÄN</t>
        </is>
      </c>
      <c r="G227" t="inlineStr">
        <is>
          <t>ENKÖPING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6044-2026</t>
        </is>
      </c>
      <c r="B228" t="inlineStr">
        <is>
          <t>avverkningsanmälan</t>
        </is>
      </c>
      <c r="C228" t="inlineStr">
        <is>
          <t>Föryngringsavverkning</t>
        </is>
      </c>
      <c r="D228" s="1" t="n">
        <v>46052</v>
      </c>
      <c r="E228" s="1" t="n">
        <v>46261</v>
      </c>
      <c r="F228" t="inlineStr">
        <is>
          <t>UPPSALA LÄN</t>
        </is>
      </c>
      <c r="G228" t="inlineStr">
        <is>
          <t>ENKÖPING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25334-2023</t>
        </is>
      </c>
      <c r="B229" t="inlineStr">
        <is>
          <t>avverkningsanmälan</t>
        </is>
      </c>
      <c r="C229" t="inlineStr">
        <is>
          <t>Avverkning för annat ändamål</t>
        </is>
      </c>
      <c r="D229" s="1" t="n">
        <v>45083</v>
      </c>
      <c r="E229" s="1" t="n">
        <v>46261</v>
      </c>
      <c r="F229" t="inlineStr">
        <is>
          <t>UPPSALA LÄN</t>
        </is>
      </c>
      <c r="G229" t="inlineStr">
        <is>
          <t>ENKÖPING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51133-2025</t>
        </is>
      </c>
      <c r="B230" t="inlineStr">
        <is>
          <t>avverkningsanmälan</t>
        </is>
      </c>
      <c r="C230" t="inlineStr">
        <is>
          <t>Föryngringsavverkning</t>
        </is>
      </c>
      <c r="D230" s="1" t="n">
        <v>45947</v>
      </c>
      <c r="E230" s="1" t="n">
        <v>46261</v>
      </c>
      <c r="F230" t="inlineStr">
        <is>
          <t>UPPSALA LÄN</t>
        </is>
      </c>
      <c r="G230" t="inlineStr">
        <is>
          <t>ENKÖPING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56837-2024</t>
        </is>
      </c>
      <c r="B231" t="inlineStr">
        <is>
          <t>avverkningsanmälan</t>
        </is>
      </c>
      <c r="C231" t="inlineStr">
        <is>
          <t>Föryngringsavverkning</t>
        </is>
      </c>
      <c r="D231" s="1" t="n">
        <v>45628</v>
      </c>
      <c r="E231" s="1" t="n">
        <v>46261</v>
      </c>
      <c r="F231" t="inlineStr">
        <is>
          <t>UPPSALA LÄN</t>
        </is>
      </c>
      <c r="G231" t="inlineStr">
        <is>
          <t>ENKÖPING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23882-2026</t>
        </is>
      </c>
      <c r="B232" t="inlineStr">
        <is>
          <t>avverkningsanmälan</t>
        </is>
      </c>
      <c r="C232" t="inlineStr">
        <is>
          <t>Föryngringsavverkning</t>
        </is>
      </c>
      <c r="D232" s="1" t="n">
        <v>46167</v>
      </c>
      <c r="E232" s="1" t="n">
        <v>46261</v>
      </c>
      <c r="F232" t="inlineStr">
        <is>
          <t>UPPSALA LÄN</t>
        </is>
      </c>
      <c r="G232" t="inlineStr">
        <is>
          <t>ENKÖPING</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23889-2026</t>
        </is>
      </c>
      <c r="B233" t="inlineStr">
        <is>
          <t>avverkningsanmälan</t>
        </is>
      </c>
      <c r="C233" t="inlineStr">
        <is>
          <t>Föryngringsavverkning</t>
        </is>
      </c>
      <c r="D233" s="1" t="n">
        <v>46167</v>
      </c>
      <c r="E233" s="1" t="n">
        <v>46261</v>
      </c>
      <c r="F233" t="inlineStr">
        <is>
          <t>UPPSALA LÄN</t>
        </is>
      </c>
      <c r="G233" t="inlineStr">
        <is>
          <t>ENKÖPING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56713-2024</t>
        </is>
      </c>
      <c r="B234" t="inlineStr">
        <is>
          <t>avverkningsanmälan</t>
        </is>
      </c>
      <c r="C234" t="inlineStr">
        <is>
          <t>Föryngringsavverkning</t>
        </is>
      </c>
      <c r="D234" s="1" t="n">
        <v>45628</v>
      </c>
      <c r="E234" s="1" t="n">
        <v>46261</v>
      </c>
      <c r="F234" t="inlineStr">
        <is>
          <t>UPPSALA LÄN</t>
        </is>
      </c>
      <c r="G234" t="inlineStr">
        <is>
          <t>ENKÖPING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1695-2025</t>
        </is>
      </c>
      <c r="B235" t="inlineStr">
        <is>
          <t>avverkningsanmälan</t>
        </is>
      </c>
      <c r="C235" t="inlineStr">
        <is>
          <t>Föryngringsavverkning</t>
        </is>
      </c>
      <c r="D235" s="1" t="n">
        <v>45670</v>
      </c>
      <c r="E235" s="1" t="n">
        <v>46261</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59027-2024</t>
        </is>
      </c>
      <c r="B236" t="inlineStr">
        <is>
          <t>avverkningsanmälan</t>
        </is>
      </c>
      <c r="C236" t="inlineStr">
        <is>
          <t>Föryngringsavverkning</t>
        </is>
      </c>
      <c r="D236" s="1" t="n">
        <v>45636</v>
      </c>
      <c r="E236" s="1" t="n">
        <v>46261</v>
      </c>
      <c r="F236" t="inlineStr">
        <is>
          <t>UPPSALA LÄN</t>
        </is>
      </c>
      <c r="G236" t="inlineStr">
        <is>
          <t>ENKÖPING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3235-2025</t>
        </is>
      </c>
      <c r="B237" t="inlineStr">
        <is>
          <t>avverkningsanmälan</t>
        </is>
      </c>
      <c r="C237" t="inlineStr">
        <is>
          <t>Avverkning för annat ändamål</t>
        </is>
      </c>
      <c r="D237" s="1" t="n">
        <v>45679</v>
      </c>
      <c r="E237" s="1" t="n">
        <v>46261</v>
      </c>
      <c r="F237" t="inlineStr">
        <is>
          <t>UPPSALA LÄN</t>
        </is>
      </c>
      <c r="G237" t="inlineStr">
        <is>
          <t>ENKÖPING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6959-2025</t>
        </is>
      </c>
      <c r="B238" t="inlineStr">
        <is>
          <t>avverkningsanmälan</t>
        </is>
      </c>
      <c r="C238" t="inlineStr">
        <is>
          <t>Föryngringsavverkning</t>
        </is>
      </c>
      <c r="D238" s="1" t="n">
        <v>45701</v>
      </c>
      <c r="E238" s="1" t="n">
        <v>46261</v>
      </c>
      <c r="F238" t="inlineStr">
        <is>
          <t>UPPSALA LÄN</t>
        </is>
      </c>
      <c r="G238" t="inlineStr">
        <is>
          <t>ENKÖPING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24887-2026</t>
        </is>
      </c>
      <c r="B239" t="inlineStr">
        <is>
          <t>avverkningsanmälan</t>
        </is>
      </c>
      <c r="C239" t="inlineStr">
        <is>
          <t>Föryngringsavverkning</t>
        </is>
      </c>
      <c r="D239" s="1" t="n">
        <v>46174</v>
      </c>
      <c r="E239" s="1" t="n">
        <v>46261</v>
      </c>
      <c r="F239" t="inlineStr">
        <is>
          <t>UPPSALA LÄN</t>
        </is>
      </c>
      <c r="G239" t="inlineStr">
        <is>
          <t>ENKÖPING</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50006-2023</t>
        </is>
      </c>
      <c r="B240" t="inlineStr">
        <is>
          <t>avverkningsanmälan</t>
        </is>
      </c>
      <c r="C240" t="inlineStr">
        <is>
          <t>Föryngringsavverkning</t>
        </is>
      </c>
      <c r="D240" s="1" t="n">
        <v>45215</v>
      </c>
      <c r="E240" s="1" t="n">
        <v>46261</v>
      </c>
      <c r="F240" t="inlineStr">
        <is>
          <t>UPPSALA LÄN</t>
        </is>
      </c>
      <c r="G240" t="inlineStr">
        <is>
          <t>ENKÖPING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52299-2023</t>
        </is>
      </c>
      <c r="B241" t="inlineStr">
        <is>
          <t>avverkningsanmälan</t>
        </is>
      </c>
      <c r="C241" t="inlineStr">
        <is>
          <t>Föryngringsavverkning</t>
        </is>
      </c>
      <c r="D241" s="1" t="n">
        <v>45224</v>
      </c>
      <c r="E241" s="1" t="n">
        <v>46261</v>
      </c>
      <c r="F241" t="inlineStr">
        <is>
          <t>UPPSALA LÄN</t>
        </is>
      </c>
      <c r="G241" t="inlineStr">
        <is>
          <t>ENKÖPING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25557-2026</t>
        </is>
      </c>
      <c r="B242" t="inlineStr">
        <is>
          <t>avverkningsanmälan</t>
        </is>
      </c>
      <c r="C242" t="inlineStr">
        <is>
          <t>Föryngringsavverkning</t>
        </is>
      </c>
      <c r="D242" s="1" t="n">
        <v>46177</v>
      </c>
      <c r="E242" s="1" t="n">
        <v>46261</v>
      </c>
      <c r="F242" t="inlineStr">
        <is>
          <t>UPPSALA LÄN</t>
        </is>
      </c>
      <c r="G242" t="inlineStr">
        <is>
          <t>ENKÖPING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25566-2026</t>
        </is>
      </c>
      <c r="B243" t="inlineStr">
        <is>
          <t>avverkningsanmälan</t>
        </is>
      </c>
      <c r="C243" t="inlineStr">
        <is>
          <t>Föryngringsavverkning</t>
        </is>
      </c>
      <c r="D243" s="1" t="n">
        <v>46177</v>
      </c>
      <c r="E243" s="1" t="n">
        <v>46261</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32081-2024</t>
        </is>
      </c>
      <c r="B244" t="inlineStr">
        <is>
          <t>avverkningsanmälan</t>
        </is>
      </c>
      <c r="C244" t="inlineStr">
        <is>
          <t>Föryngringsavverkning</t>
        </is>
      </c>
      <c r="D244" s="1" t="n">
        <v>45511</v>
      </c>
      <c r="E244" s="1" t="n">
        <v>46261</v>
      </c>
      <c r="F244" t="inlineStr">
        <is>
          <t>UPPSALA LÄN</t>
        </is>
      </c>
      <c r="G244" t="inlineStr">
        <is>
          <t>ENKÖPING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20184-2023</t>
        </is>
      </c>
      <c r="B245" t="inlineStr">
        <is>
          <t>avverkningsanmälan</t>
        </is>
      </c>
      <c r="C245" t="inlineStr">
        <is>
          <t>Föryngringsavverkning</t>
        </is>
      </c>
      <c r="D245" s="1" t="n">
        <v>45055</v>
      </c>
      <c r="E245" s="1" t="n">
        <v>46261</v>
      </c>
      <c r="F245" t="inlineStr">
        <is>
          <t>UPPSALA LÄN</t>
        </is>
      </c>
      <c r="G245" t="inlineStr">
        <is>
          <t>ENKÖPING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61952-2021</t>
        </is>
      </c>
      <c r="B246" t="inlineStr">
        <is>
          <t>avverkningsanmälan</t>
        </is>
      </c>
      <c r="C246" t="inlineStr">
        <is>
          <t>Föryngringsavverkning</t>
        </is>
      </c>
      <c r="D246" s="1" t="n">
        <v>44502</v>
      </c>
      <c r="E246" s="1" t="n">
        <v>46261</v>
      </c>
      <c r="F246" t="inlineStr">
        <is>
          <t>UPPSALA LÄN</t>
        </is>
      </c>
      <c r="G246" t="inlineStr">
        <is>
          <t>ENKÖPING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59602-2022</t>
        </is>
      </c>
      <c r="B247" t="inlineStr">
        <is>
          <t>avverkningsanmälan</t>
        </is>
      </c>
      <c r="C247" t="inlineStr">
        <is>
          <t>Föryngringsavverkning</t>
        </is>
      </c>
      <c r="D247" s="1" t="n">
        <v>44907</v>
      </c>
      <c r="E247" s="1" t="n">
        <v>46261</v>
      </c>
      <c r="F247" t="inlineStr">
        <is>
          <t>UPPSALA LÄN</t>
        </is>
      </c>
      <c r="G247" t="inlineStr">
        <is>
          <t>ENKÖPING</t>
        </is>
      </c>
      <c r="I247" t="n">
        <v>14.2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42589-2022</t>
        </is>
      </c>
      <c r="B248" t="inlineStr">
        <is>
          <t>avverkningsanmälan</t>
        </is>
      </c>
      <c r="C248" t="inlineStr">
        <is>
          <t>Föryngringsavverkning</t>
        </is>
      </c>
      <c r="D248" s="1" t="n">
        <v>44831</v>
      </c>
      <c r="E248" s="1" t="n">
        <v>46261</v>
      </c>
      <c r="F248" t="inlineStr">
        <is>
          <t>UPPSALA LÄN</t>
        </is>
      </c>
      <c r="G248" t="inlineStr">
        <is>
          <t>ENKÖPING</t>
        </is>
      </c>
      <c r="I248" t="n">
        <v>20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9487-2025</t>
        </is>
      </c>
      <c r="B249" t="inlineStr">
        <is>
          <t>avverkningsanmälan</t>
        </is>
      </c>
      <c r="C249" t="inlineStr">
        <is>
          <t>Föryngringsavverkning</t>
        </is>
      </c>
      <c r="D249" s="1" t="n">
        <v>45715</v>
      </c>
      <c r="E249" s="1" t="n">
        <v>46261</v>
      </c>
      <c r="F249" t="inlineStr">
        <is>
          <t>UPPSALA LÄN</t>
        </is>
      </c>
      <c r="G249" t="inlineStr">
        <is>
          <t>ENKÖPING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37035-2023</t>
        </is>
      </c>
      <c r="B250" t="inlineStr">
        <is>
          <t>avverkningsanmälan</t>
        </is>
      </c>
      <c r="C250" t="inlineStr">
        <is>
          <t>Föryngringsavverkning</t>
        </is>
      </c>
      <c r="D250" s="1" t="n">
        <v>45155</v>
      </c>
      <c r="E250" s="1" t="n">
        <v>46261</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46186-2023</t>
        </is>
      </c>
      <c r="B251" t="inlineStr">
        <is>
          <t>avverkningsanmälan</t>
        </is>
      </c>
      <c r="C251" t="inlineStr">
        <is>
          <t>Föryngringsavverkning</t>
        </is>
      </c>
      <c r="D251" s="1" t="n">
        <v>45196</v>
      </c>
      <c r="E251" s="1" t="n">
        <v>46261</v>
      </c>
      <c r="F251" t="inlineStr">
        <is>
          <t>UPPSALA LÄN</t>
        </is>
      </c>
      <c r="G251" t="inlineStr">
        <is>
          <t>ENKÖPING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15162-2025</t>
        </is>
      </c>
      <c r="B252" t="inlineStr">
        <is>
          <t>avverkningsanmälan</t>
        </is>
      </c>
      <c r="C252" t="inlineStr">
        <is>
          <t>Föryngringsavverkning</t>
        </is>
      </c>
      <c r="D252" s="1" t="n">
        <v>45744</v>
      </c>
      <c r="E252" s="1" t="n">
        <v>46261</v>
      </c>
      <c r="F252" t="inlineStr">
        <is>
          <t>UPPSALA LÄN</t>
        </is>
      </c>
      <c r="G252" t="inlineStr">
        <is>
          <t>ENKÖPING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18299-2025</t>
        </is>
      </c>
      <c r="B253" t="inlineStr">
        <is>
          <t>avverkningsanmälan</t>
        </is>
      </c>
      <c r="C253" t="inlineStr">
        <is>
          <t>Föryngringsavverkning</t>
        </is>
      </c>
      <c r="D253" s="1" t="n">
        <v>45762</v>
      </c>
      <c r="E253" s="1" t="n">
        <v>46261</v>
      </c>
      <c r="F253" t="inlineStr">
        <is>
          <t>UPPSALA LÄN</t>
        </is>
      </c>
      <c r="G253" t="inlineStr">
        <is>
          <t>ENKÖPING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6144-2024</t>
        </is>
      </c>
      <c r="B254" t="inlineStr">
        <is>
          <t>avverkningsanmälan</t>
        </is>
      </c>
      <c r="C254" t="inlineStr">
        <is>
          <t>Föryngringsavverkning</t>
        </is>
      </c>
      <c r="D254" s="1" t="n">
        <v>45337</v>
      </c>
      <c r="E254" s="1" t="n">
        <v>46261</v>
      </c>
      <c r="F254" t="inlineStr">
        <is>
          <t>UPPSALA LÄN</t>
        </is>
      </c>
      <c r="G254" t="inlineStr">
        <is>
          <t>ENKÖPING</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67984-2021</t>
        </is>
      </c>
      <c r="B255" t="inlineStr">
        <is>
          <t>avverkningsanmälan</t>
        </is>
      </c>
      <c r="C255" t="inlineStr">
        <is>
          <t>Föryngringsavverkning</t>
        </is>
      </c>
      <c r="D255" s="1" t="n">
        <v>44525</v>
      </c>
      <c r="E255" s="1" t="n">
        <v>46261</v>
      </c>
      <c r="F255" t="inlineStr">
        <is>
          <t>UPPSALA LÄN</t>
        </is>
      </c>
      <c r="G255" t="inlineStr">
        <is>
          <t>ENKÖPING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43896-2022</t>
        </is>
      </c>
      <c r="B256" t="inlineStr">
        <is>
          <t>avverkningsanmälan</t>
        </is>
      </c>
      <c r="C256" t="inlineStr">
        <is>
          <t>Föryngringsavverkning</t>
        </is>
      </c>
      <c r="D256" s="1" t="n">
        <v>44838</v>
      </c>
      <c r="E256" s="1" t="n">
        <v>46261</v>
      </c>
      <c r="F256" t="inlineStr">
        <is>
          <t>UPPSALA LÄN</t>
        </is>
      </c>
      <c r="G256" t="inlineStr">
        <is>
          <t>ENKÖPING</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32038-2026</t>
        </is>
      </c>
      <c r="B257" t="inlineStr">
        <is>
          <t>avverkningsanmälan</t>
        </is>
      </c>
      <c r="C257" t="inlineStr">
        <is>
          <t>Föryngringsavverkning</t>
        </is>
      </c>
      <c r="D257" s="1" t="n">
        <v>46233</v>
      </c>
      <c r="E257" s="1" t="n">
        <v>46261</v>
      </c>
      <c r="F257" t="inlineStr">
        <is>
          <t>UPPSALA LÄN</t>
        </is>
      </c>
      <c r="G257" t="inlineStr">
        <is>
          <t>ENKÖPING</t>
        </is>
      </c>
      <c r="I257" t="n">
        <v>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41737-2022</t>
        </is>
      </c>
      <c r="B258" t="inlineStr">
        <is>
          <t>avverkningsanmälan</t>
        </is>
      </c>
      <c r="C258" t="inlineStr">
        <is>
          <t>Föryngringsavverkning</t>
        </is>
      </c>
      <c r="D258" s="1" t="n">
        <v>44827</v>
      </c>
      <c r="E258" s="1" t="n">
        <v>46261</v>
      </c>
      <c r="F258" t="inlineStr">
        <is>
          <t>UPPSALA LÄN</t>
        </is>
      </c>
      <c r="G258" t="inlineStr">
        <is>
          <t>ENKÖPING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54595-2021</t>
        </is>
      </c>
      <c r="B259" t="inlineStr">
        <is>
          <t>avverkningsanmälan</t>
        </is>
      </c>
      <c r="C259" t="inlineStr">
        <is>
          <t>Föryngringsavverkning</t>
        </is>
      </c>
      <c r="D259" s="1" t="n">
        <v>44473</v>
      </c>
      <c r="E259" s="1" t="n">
        <v>46261</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22094-2023</t>
        </is>
      </c>
      <c r="B260" t="inlineStr">
        <is>
          <t>avverkningsanmälan</t>
        </is>
      </c>
      <c r="C260" t="inlineStr">
        <is>
          <t>Avverkning för annat ändamål</t>
        </is>
      </c>
      <c r="D260" s="1" t="n">
        <v>45069</v>
      </c>
      <c r="E260" s="1" t="n">
        <v>46261</v>
      </c>
      <c r="F260" t="inlineStr">
        <is>
          <t>UPPSALA LÄN</t>
        </is>
      </c>
      <c r="G260" t="inlineStr">
        <is>
          <t>ENKÖPING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24962-2023</t>
        </is>
      </c>
      <c r="B261" t="inlineStr">
        <is>
          <t>avverkningsanmälan</t>
        </is>
      </c>
      <c r="C261" t="inlineStr">
        <is>
          <t>Föryngringsavverkning</t>
        </is>
      </c>
      <c r="D261" s="1" t="n">
        <v>45085</v>
      </c>
      <c r="E261" s="1" t="n">
        <v>46261</v>
      </c>
      <c r="F261" t="inlineStr">
        <is>
          <t>UPPSALA LÄN</t>
        </is>
      </c>
      <c r="G261" t="inlineStr">
        <is>
          <t>ENKÖPING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44131-2023</t>
        </is>
      </c>
      <c r="B262" t="inlineStr">
        <is>
          <t>avverkningsanmälan</t>
        </is>
      </c>
      <c r="C262" t="inlineStr">
        <is>
          <t>Föryngringsavverkning</t>
        </is>
      </c>
      <c r="D262" s="1" t="n">
        <v>45188</v>
      </c>
      <c r="E262" s="1" t="n">
        <v>46261</v>
      </c>
      <c r="F262" t="inlineStr">
        <is>
          <t>UPPSALA LÄN</t>
        </is>
      </c>
      <c r="G262" t="inlineStr">
        <is>
          <t>ENKÖPING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29482-2022</t>
        </is>
      </c>
      <c r="B263" t="inlineStr">
        <is>
          <t>avverkningsanmälan</t>
        </is>
      </c>
      <c r="C263" t="inlineStr">
        <is>
          <t>Föryngringsavverkning</t>
        </is>
      </c>
      <c r="D263" s="1" t="n">
        <v>44753</v>
      </c>
      <c r="E263" s="1" t="n">
        <v>46261</v>
      </c>
      <c r="F263" t="inlineStr">
        <is>
          <t>UPPSALA LÄN</t>
        </is>
      </c>
      <c r="G263" t="inlineStr">
        <is>
          <t>ENKÖPING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29483-2022</t>
        </is>
      </c>
      <c r="B264" t="inlineStr">
        <is>
          <t>avverkningsanmälan</t>
        </is>
      </c>
      <c r="C264" t="inlineStr">
        <is>
          <t>Föryngringsavverkning</t>
        </is>
      </c>
      <c r="D264" s="1" t="n">
        <v>44753</v>
      </c>
      <c r="E264" s="1" t="n">
        <v>46261</v>
      </c>
      <c r="F264" t="inlineStr">
        <is>
          <t>UPPSALA LÄN</t>
        </is>
      </c>
      <c r="G264" t="inlineStr">
        <is>
          <t>ENKÖPING</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53496-2022</t>
        </is>
      </c>
      <c r="B265" t="inlineStr">
        <is>
          <t>avverkningsanmälan</t>
        </is>
      </c>
      <c r="C265" t="inlineStr">
        <is>
          <t>Föryngringsavverkning</t>
        </is>
      </c>
      <c r="D265" s="1" t="n">
        <v>44879</v>
      </c>
      <c r="E265" s="1" t="n">
        <v>46261</v>
      </c>
      <c r="F265" t="inlineStr">
        <is>
          <t>UPPSALA LÄN</t>
        </is>
      </c>
      <c r="G265" t="inlineStr">
        <is>
          <t>ENKÖPING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7870-2024</t>
        </is>
      </c>
      <c r="B266" t="inlineStr">
        <is>
          <t>avverkningsanmälan</t>
        </is>
      </c>
      <c r="C266" t="inlineStr">
        <is>
          <t>Föryngringsavverkning</t>
        </is>
      </c>
      <c r="D266" s="1" t="n">
        <v>45350</v>
      </c>
      <c r="E266" s="1" t="n">
        <v>46261</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28243-2023</t>
        </is>
      </c>
      <c r="B267" t="inlineStr">
        <is>
          <t>avverkningsanmälan</t>
        </is>
      </c>
      <c r="C267" t="inlineStr">
        <is>
          <t>Föryngringsavverkning</t>
        </is>
      </c>
      <c r="D267" s="1" t="n">
        <v>45099</v>
      </c>
      <c r="E267" s="1" t="n">
        <v>46261</v>
      </c>
      <c r="F267" t="inlineStr">
        <is>
          <t>UPPSALA LÄN</t>
        </is>
      </c>
      <c r="G267" t="inlineStr">
        <is>
          <t>ENKÖPING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10829-2024</t>
        </is>
      </c>
      <c r="B268" t="inlineStr">
        <is>
          <t>avverkningsanmälan</t>
        </is>
      </c>
      <c r="C268" t="inlineStr">
        <is>
          <t>Föryngringsavverkning</t>
        </is>
      </c>
      <c r="D268" s="1" t="n">
        <v>45369</v>
      </c>
      <c r="E268" s="1" t="n">
        <v>46261</v>
      </c>
      <c r="F268" t="inlineStr">
        <is>
          <t>UPPSALA LÄN</t>
        </is>
      </c>
      <c r="G268" t="inlineStr">
        <is>
          <t>ENKÖPING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2161-2023</t>
        </is>
      </c>
      <c r="B269" t="inlineStr">
        <is>
          <t>avverkningsanmälan</t>
        </is>
      </c>
      <c r="C269" t="inlineStr">
        <is>
          <t>Föryngringsavverkning</t>
        </is>
      </c>
      <c r="D269" s="1" t="n">
        <v>44941</v>
      </c>
      <c r="E269" s="1" t="n">
        <v>46261</v>
      </c>
      <c r="F269" t="inlineStr">
        <is>
          <t>UPPSALA LÄN</t>
        </is>
      </c>
      <c r="G269" t="inlineStr">
        <is>
          <t>ENKÖPING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2165-2023</t>
        </is>
      </c>
      <c r="B270" t="inlineStr">
        <is>
          <t>avverkningsanmälan</t>
        </is>
      </c>
      <c r="C270" t="inlineStr">
        <is>
          <t>Föryngringsavverkning</t>
        </is>
      </c>
      <c r="D270" s="1" t="n">
        <v>44941</v>
      </c>
      <c r="E270" s="1" t="n">
        <v>46261</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13853-2023</t>
        </is>
      </c>
      <c r="B271" t="inlineStr">
        <is>
          <t>avverkningsanmälan</t>
        </is>
      </c>
      <c r="C271" t="inlineStr">
        <is>
          <t>Föryngringsavverkning</t>
        </is>
      </c>
      <c r="D271" s="1" t="n">
        <v>45007</v>
      </c>
      <c r="E271" s="1" t="n">
        <v>46261</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33115-2026</t>
        </is>
      </c>
      <c r="B272" t="inlineStr">
        <is>
          <t>avverkningsanmälan</t>
        </is>
      </c>
      <c r="C272" t="inlineStr">
        <is>
          <t>Föryngringsavverkning</t>
        </is>
      </c>
      <c r="D272" s="1" t="n">
        <v>46245</v>
      </c>
      <c r="E272" s="1" t="n">
        <v>46261</v>
      </c>
      <c r="F272" t="inlineStr">
        <is>
          <t>UPPSALA LÄN</t>
        </is>
      </c>
      <c r="G272" t="inlineStr">
        <is>
          <t>ENKÖPING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63310-2021</t>
        </is>
      </c>
      <c r="B273" t="inlineStr">
        <is>
          <t>avverkningsanmälan</t>
        </is>
      </c>
      <c r="C273" t="inlineStr">
        <is>
          <t>Avverkning för annat ändamål</t>
        </is>
      </c>
      <c r="D273" s="1" t="n">
        <v>44508</v>
      </c>
      <c r="E273" s="1" t="n">
        <v>46261</v>
      </c>
      <c r="F273" t="inlineStr">
        <is>
          <t>UPPSALA LÄN</t>
        </is>
      </c>
      <c r="G273" t="inlineStr">
        <is>
          <t>ENKÖPING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61106-2022</t>
        </is>
      </c>
      <c r="B274" t="inlineStr">
        <is>
          <t>avverkningsanmälan</t>
        </is>
      </c>
      <c r="C274" t="inlineStr">
        <is>
          <t>Föryngringsavverkning</t>
        </is>
      </c>
      <c r="D274" s="1" t="n">
        <v>44915</v>
      </c>
      <c r="E274" s="1" t="n">
        <v>46261</v>
      </c>
      <c r="F274" t="inlineStr">
        <is>
          <t>UPPSALA LÄN</t>
        </is>
      </c>
      <c r="G274" t="inlineStr">
        <is>
          <t>ENKÖPING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9171-2024</t>
        </is>
      </c>
      <c r="B275" t="inlineStr">
        <is>
          <t>avverkningsanmälan</t>
        </is>
      </c>
      <c r="C275" t="inlineStr">
        <is>
          <t>Föryngringsavverkning</t>
        </is>
      </c>
      <c r="D275" s="1" t="n">
        <v>45358</v>
      </c>
      <c r="E275" s="1" t="n">
        <v>46261</v>
      </c>
      <c r="F275" t="inlineStr">
        <is>
          <t>UPPSALA LÄN</t>
        </is>
      </c>
      <c r="G275" t="inlineStr">
        <is>
          <t>ENKÖPING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671-2022</t>
        </is>
      </c>
      <c r="B276" t="inlineStr">
        <is>
          <t>avverkningsanmälan</t>
        </is>
      </c>
      <c r="C276" t="inlineStr">
        <is>
          <t>Avverkning för annat ändamål</t>
        </is>
      </c>
      <c r="D276" s="1" t="n">
        <v>44568</v>
      </c>
      <c r="E276" s="1" t="n">
        <v>46261</v>
      </c>
      <c r="F276" t="inlineStr">
        <is>
          <t>UPPSALA LÄN</t>
        </is>
      </c>
      <c r="G276" t="inlineStr">
        <is>
          <t>ENKÖPING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11005-2023</t>
        </is>
      </c>
      <c r="B277" t="inlineStr">
        <is>
          <t>avverkningsanmälan</t>
        </is>
      </c>
      <c r="C277" t="inlineStr">
        <is>
          <t>Föryngringsavverkning</t>
        </is>
      </c>
      <c r="D277" s="1" t="n">
        <v>44991</v>
      </c>
      <c r="E277" s="1" t="n">
        <v>46261</v>
      </c>
      <c r="F277" t="inlineStr">
        <is>
          <t>UPPSALA LÄN</t>
        </is>
      </c>
      <c r="G277" t="inlineStr">
        <is>
          <t>ENKÖPING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29918-2023</t>
        </is>
      </c>
      <c r="B278" t="inlineStr">
        <is>
          <t>avverkningsanmälan</t>
        </is>
      </c>
      <c r="C278" t="inlineStr">
        <is>
          <t>Föryngringsavverkning</t>
        </is>
      </c>
      <c r="D278" s="1" t="n">
        <v>45099</v>
      </c>
      <c r="E278" s="1" t="n">
        <v>46261</v>
      </c>
      <c r="F278" t="inlineStr">
        <is>
          <t>UPPSALA LÄN</t>
        </is>
      </c>
      <c r="G278" t="inlineStr">
        <is>
          <t>ENKÖPING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58384-2022</t>
        </is>
      </c>
      <c r="B279" t="inlineStr">
        <is>
          <t>avverkningsanmälan</t>
        </is>
      </c>
      <c r="C279" t="inlineStr">
        <is>
          <t>Föryngringsavverkning</t>
        </is>
      </c>
      <c r="D279" s="1" t="n">
        <v>44901</v>
      </c>
      <c r="E279" s="1" t="n">
        <v>46261</v>
      </c>
      <c r="F279" t="inlineStr">
        <is>
          <t>UPPSALA LÄN</t>
        </is>
      </c>
      <c r="G279" t="inlineStr">
        <is>
          <t>ENKÖPING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15893-2024</t>
        </is>
      </c>
      <c r="B280" t="inlineStr">
        <is>
          <t>avverkningsanmälan</t>
        </is>
      </c>
      <c r="C280" t="inlineStr">
        <is>
          <t>Föryngringsavverkning</t>
        </is>
      </c>
      <c r="D280" s="1" t="n">
        <v>45405</v>
      </c>
      <c r="E280" s="1" t="n">
        <v>46261</v>
      </c>
      <c r="F280" t="inlineStr">
        <is>
          <t>UPPSALA LÄN</t>
        </is>
      </c>
      <c r="G280" t="inlineStr">
        <is>
          <t>ENKÖPING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57142-2021</t>
        </is>
      </c>
      <c r="B281" t="inlineStr">
        <is>
          <t>avverkningsanmälan</t>
        </is>
      </c>
      <c r="C281" t="inlineStr">
        <is>
          <t>Föryngringsavverkning</t>
        </is>
      </c>
      <c r="D281" s="1" t="n">
        <v>44482</v>
      </c>
      <c r="E281" s="1" t="n">
        <v>46261</v>
      </c>
      <c r="F281" t="inlineStr">
        <is>
          <t>UPPSALA LÄN</t>
        </is>
      </c>
      <c r="G281" t="inlineStr">
        <is>
          <t>ENKÖPING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57153-2021</t>
        </is>
      </c>
      <c r="B282" t="inlineStr">
        <is>
          <t>avverkningsanmälan</t>
        </is>
      </c>
      <c r="C282" t="inlineStr">
        <is>
          <t>Föryngringsavverkning</t>
        </is>
      </c>
      <c r="D282" s="1" t="n">
        <v>44482</v>
      </c>
      <c r="E282" s="1" t="n">
        <v>46261</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5188-2022</t>
        </is>
      </c>
      <c r="B283" t="inlineStr">
        <is>
          <t>avverkningsanmälan</t>
        </is>
      </c>
      <c r="C283" t="inlineStr">
        <is>
          <t>Föryngringsavverkning</t>
        </is>
      </c>
      <c r="D283" s="1" t="n">
        <v>44594</v>
      </c>
      <c r="E283" s="1" t="n">
        <v>46261</v>
      </c>
      <c r="F283" t="inlineStr">
        <is>
          <t>UPPSALA LÄN</t>
        </is>
      </c>
      <c r="G283" t="inlineStr">
        <is>
          <t>ENKÖPING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30405-2026</t>
        </is>
      </c>
      <c r="B284" t="inlineStr">
        <is>
          <t>avverkningsanmälan</t>
        </is>
      </c>
      <c r="C284" t="inlineStr">
        <is>
          <t>Föryngringsavverkning</t>
        </is>
      </c>
      <c r="D284" s="1" t="n">
        <v>46209</v>
      </c>
      <c r="E284" s="1" t="n">
        <v>46261</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19014-2025</t>
        </is>
      </c>
      <c r="B285" t="inlineStr">
        <is>
          <t>avverkningsanmälan</t>
        </is>
      </c>
      <c r="C285" t="inlineStr">
        <is>
          <t>Föryngringsavverkning</t>
        </is>
      </c>
      <c r="D285" s="1" t="n">
        <v>45764</v>
      </c>
      <c r="E285" s="1" t="n">
        <v>46261</v>
      </c>
      <c r="F285" t="inlineStr">
        <is>
          <t>UPPSALA LÄN</t>
        </is>
      </c>
      <c r="G285" t="inlineStr">
        <is>
          <t>ENKÖPING</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19376-2024</t>
        </is>
      </c>
      <c r="B286" t="inlineStr">
        <is>
          <t>avverkningsanmälan</t>
        </is>
      </c>
      <c r="C286" t="inlineStr">
        <is>
          <t>Föryngringsavverkning</t>
        </is>
      </c>
      <c r="D286" s="1" t="n">
        <v>45429</v>
      </c>
      <c r="E286" s="1" t="n">
        <v>46261</v>
      </c>
      <c r="F286" t="inlineStr">
        <is>
          <t>UPPSALA LÄN</t>
        </is>
      </c>
      <c r="G286" t="inlineStr">
        <is>
          <t>ENKÖPING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33670-2024</t>
        </is>
      </c>
      <c r="B287" t="inlineStr">
        <is>
          <t>avverkningsanmälan</t>
        </is>
      </c>
      <c r="C287" t="inlineStr">
        <is>
          <t>Föryngringsavverkning</t>
        </is>
      </c>
      <c r="D287" s="1" t="n">
        <v>45520</v>
      </c>
      <c r="E287" s="1" t="n">
        <v>46261</v>
      </c>
      <c r="F287" t="inlineStr">
        <is>
          <t>UPPSALA LÄN</t>
        </is>
      </c>
      <c r="G287" t="inlineStr">
        <is>
          <t>ENKÖPING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5104-2026</t>
        </is>
      </c>
      <c r="B288" t="inlineStr">
        <is>
          <t>avverkningsanmälan</t>
        </is>
      </c>
      <c r="C288" t="inlineStr">
        <is>
          <t>Föryngringsavverkning</t>
        </is>
      </c>
      <c r="D288" s="1" t="n">
        <v>46049</v>
      </c>
      <c r="E288" s="1" t="n">
        <v>46261</v>
      </c>
      <c r="F288" t="inlineStr">
        <is>
          <t>UPPSALA LÄN</t>
        </is>
      </c>
      <c r="G288" t="inlineStr">
        <is>
          <t>ENKÖPING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30725-2026</t>
        </is>
      </c>
      <c r="B289" t="inlineStr">
        <is>
          <t>avverkningsanmälan</t>
        </is>
      </c>
      <c r="C289" t="inlineStr">
        <is>
          <t>Avverkning för annat ändamål</t>
        </is>
      </c>
      <c r="D289" s="1" t="n">
        <v>46211</v>
      </c>
      <c r="E289" s="1" t="n">
        <v>46261</v>
      </c>
      <c r="F289" t="inlineStr">
        <is>
          <t>UPPSALA LÄN</t>
        </is>
      </c>
      <c r="G289" t="inlineStr">
        <is>
          <t>ENKÖPING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19147-2024</t>
        </is>
      </c>
      <c r="B290" t="inlineStr">
        <is>
          <t>avverkningsanmälan</t>
        </is>
      </c>
      <c r="C290" t="inlineStr">
        <is>
          <t>Föryngringsavverkning</t>
        </is>
      </c>
      <c r="D290" s="1" t="n">
        <v>45428</v>
      </c>
      <c r="E290" s="1" t="n">
        <v>46261</v>
      </c>
      <c r="F290" t="inlineStr">
        <is>
          <t>UPPSALA LÄN</t>
        </is>
      </c>
      <c r="G290" t="inlineStr">
        <is>
          <t>ENKÖPING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67982-2021</t>
        </is>
      </c>
      <c r="B291" t="inlineStr">
        <is>
          <t>avverkningsanmälan</t>
        </is>
      </c>
      <c r="C291" t="inlineStr">
        <is>
          <t>Föryngringsavverkning</t>
        </is>
      </c>
      <c r="D291" s="1" t="n">
        <v>44525</v>
      </c>
      <c r="E291" s="1" t="n">
        <v>46261</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39624-2023</t>
        </is>
      </c>
      <c r="B292" t="inlineStr">
        <is>
          <t>avverkningsanmälan</t>
        </is>
      </c>
      <c r="C292" t="inlineStr">
        <is>
          <t>Föryngringsavverkning</t>
        </is>
      </c>
      <c r="D292" s="1" t="n">
        <v>45164</v>
      </c>
      <c r="E292" s="1" t="n">
        <v>46261</v>
      </c>
      <c r="F292" t="inlineStr">
        <is>
          <t>UPPSALA LÄN</t>
        </is>
      </c>
      <c r="G292" t="inlineStr">
        <is>
          <t>ENKÖPING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34566-2026</t>
        </is>
      </c>
      <c r="B293" t="inlineStr">
        <is>
          <t>avverkningsanmälan</t>
        </is>
      </c>
      <c r="C293" t="inlineStr">
        <is>
          <t>Föryngringsavverkning</t>
        </is>
      </c>
      <c r="D293" s="1" t="n">
        <v>46255</v>
      </c>
      <c r="E293" s="1" t="n">
        <v>46261</v>
      </c>
      <c r="F293" t="inlineStr">
        <is>
          <t>UPPSALA LÄN</t>
        </is>
      </c>
      <c r="G293" t="inlineStr">
        <is>
          <t>ENKÖPING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5892-2023</t>
        </is>
      </c>
      <c r="B294" t="inlineStr">
        <is>
          <t>avverkningsanmälan</t>
        </is>
      </c>
      <c r="C294" t="inlineStr">
        <is>
          <t>Föryngringsavverkning</t>
        </is>
      </c>
      <c r="D294" s="1" t="n">
        <v>44963</v>
      </c>
      <c r="E294" s="1" t="n">
        <v>46261</v>
      </c>
      <c r="F294" t="inlineStr">
        <is>
          <t>UPPSALA LÄN</t>
        </is>
      </c>
      <c r="G294" t="inlineStr">
        <is>
          <t>ENKÖPING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39858-2024</t>
        </is>
      </c>
      <c r="B295" t="inlineStr">
        <is>
          <t>avverkningsanmälan</t>
        </is>
      </c>
      <c r="C295" t="inlineStr">
        <is>
          <t>Avverkning för annat ändamål</t>
        </is>
      </c>
      <c r="D295" s="1" t="n">
        <v>45553</v>
      </c>
      <c r="E295" s="1" t="n">
        <v>46261</v>
      </c>
      <c r="F295" t="inlineStr">
        <is>
          <t>UPPSALA LÄN</t>
        </is>
      </c>
      <c r="G295" t="inlineStr">
        <is>
          <t>ENKÖPING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35192-2026</t>
        </is>
      </c>
      <c r="B296" t="inlineStr">
        <is>
          <t>avverkningsanmälan</t>
        </is>
      </c>
      <c r="C296" t="inlineStr">
        <is>
          <t>Föryngringsavverkning</t>
        </is>
      </c>
      <c r="D296" s="1" t="n">
        <v>46260</v>
      </c>
      <c r="E296" s="1" t="n">
        <v>46261</v>
      </c>
      <c r="F296" t="inlineStr">
        <is>
          <t>UPPSALA LÄN</t>
        </is>
      </c>
      <c r="G296" t="inlineStr">
        <is>
          <t>ENKÖPING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9957-2023</t>
        </is>
      </c>
      <c r="B297" t="inlineStr">
        <is>
          <t>avverkningsanmälan</t>
        </is>
      </c>
      <c r="C297" t="inlineStr">
        <is>
          <t>Föryngringsavverkning</t>
        </is>
      </c>
      <c r="D297" s="1" t="n">
        <v>44978</v>
      </c>
      <c r="E297" s="1" t="n">
        <v>46261</v>
      </c>
      <c r="F297" t="inlineStr">
        <is>
          <t>UPPSALA LÄN</t>
        </is>
      </c>
      <c r="G297" t="inlineStr">
        <is>
          <t>ENKÖPING</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8152-2022</t>
        </is>
      </c>
      <c r="B298" t="inlineStr">
        <is>
          <t>avverkningsanmälan</t>
        </is>
      </c>
      <c r="C298" t="inlineStr">
        <is>
          <t>Föryngringsavverkning</t>
        </is>
      </c>
      <c r="D298" s="1" t="n">
        <v>44609</v>
      </c>
      <c r="E298" s="1" t="n">
        <v>46261</v>
      </c>
      <c r="F298" t="inlineStr">
        <is>
          <t>UPPSALA LÄN</t>
        </is>
      </c>
      <c r="G298" t="inlineStr">
        <is>
          <t>ENKÖPING</t>
        </is>
      </c>
      <c r="H298" t="inlineStr">
        <is>
          <t>Kyrkan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17657-2025</t>
        </is>
      </c>
      <c r="B299" t="inlineStr">
        <is>
          <t>avverkningsanmälan</t>
        </is>
      </c>
      <c r="C299" t="inlineStr">
        <is>
          <t>Föryngringsavverkning</t>
        </is>
      </c>
      <c r="D299" s="1" t="n">
        <v>45758</v>
      </c>
      <c r="E299" s="1" t="n">
        <v>46261</v>
      </c>
      <c r="F299" t="inlineStr">
        <is>
          <t>UPPSALA LÄN</t>
        </is>
      </c>
      <c r="G299" t="inlineStr">
        <is>
          <t>ENKÖPING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15939-2022</t>
        </is>
      </c>
      <c r="B300" t="inlineStr">
        <is>
          <t>avverkningsanmälan</t>
        </is>
      </c>
      <c r="C300" t="inlineStr">
        <is>
          <t>Föryngringsavverkning</t>
        </is>
      </c>
      <c r="D300" s="1" t="n">
        <v>44664</v>
      </c>
      <c r="E300" s="1" t="n">
        <v>46261</v>
      </c>
      <c r="F300" t="inlineStr">
        <is>
          <t>UPPSALA LÄN</t>
        </is>
      </c>
      <c r="G300" t="inlineStr">
        <is>
          <t>ENKÖPING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50394-2024</t>
        </is>
      </c>
      <c r="B301" t="inlineStr">
        <is>
          <t>avverkningsanmälan</t>
        </is>
      </c>
      <c r="C301" t="inlineStr">
        <is>
          <t>Föryngringsavverkning</t>
        </is>
      </c>
      <c r="D301" s="1" t="n">
        <v>45600</v>
      </c>
      <c r="E301" s="1" t="n">
        <v>46261</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72840-2021</t>
        </is>
      </c>
      <c r="B302" t="inlineStr">
        <is>
          <t>avverkningsanmälan</t>
        </is>
      </c>
      <c r="C302" t="inlineStr">
        <is>
          <t>Föryngringsavverkning</t>
        </is>
      </c>
      <c r="D302" s="1" t="n">
        <v>44547</v>
      </c>
      <c r="E302" s="1" t="n">
        <v>46261</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37870-2023</t>
        </is>
      </c>
      <c r="B303" t="inlineStr">
        <is>
          <t>avverkningsanmälan</t>
        </is>
      </c>
      <c r="C303" t="inlineStr">
        <is>
          <t>Föryngringsavverkning</t>
        </is>
      </c>
      <c r="D303" s="1" t="n">
        <v>45160</v>
      </c>
      <c r="E303" s="1" t="n">
        <v>46261</v>
      </c>
      <c r="F303" t="inlineStr">
        <is>
          <t>UPPSALA LÄN</t>
        </is>
      </c>
      <c r="G303" t="inlineStr">
        <is>
          <t>ENKÖPING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7090-2022</t>
        </is>
      </c>
      <c r="B304" t="inlineStr">
        <is>
          <t>avverkningsanmälan</t>
        </is>
      </c>
      <c r="C304" t="inlineStr">
        <is>
          <t>Föryngringsavverkning</t>
        </is>
      </c>
      <c r="D304" s="1" t="n">
        <v>44603</v>
      </c>
      <c r="E304" s="1" t="n">
        <v>46261</v>
      </c>
      <c r="F304" t="inlineStr">
        <is>
          <t>UPPSALA LÄN</t>
        </is>
      </c>
      <c r="G304" t="inlineStr">
        <is>
          <t>ENKÖPING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19298-2023</t>
        </is>
      </c>
      <c r="B305" t="inlineStr">
        <is>
          <t>avverkningsanmälan</t>
        </is>
      </c>
      <c r="C305" t="inlineStr">
        <is>
          <t>Föryngringsavverkning</t>
        </is>
      </c>
      <c r="D305" s="1" t="n">
        <v>45048</v>
      </c>
      <c r="E305" s="1" t="n">
        <v>46261</v>
      </c>
      <c r="F305" t="inlineStr">
        <is>
          <t>UPPSALA LÄN</t>
        </is>
      </c>
      <c r="G305" t="inlineStr">
        <is>
          <t>ENKÖPING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34617-2022</t>
        </is>
      </c>
      <c r="B306" t="inlineStr">
        <is>
          <t>avverkningsanmälan</t>
        </is>
      </c>
      <c r="C306" t="inlineStr">
        <is>
          <t>Avverkning för annat ändamål</t>
        </is>
      </c>
      <c r="D306" s="1" t="n">
        <v>44795</v>
      </c>
      <c r="E306" s="1" t="n">
        <v>46261</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40202-2024</t>
        </is>
      </c>
      <c r="B307" t="inlineStr">
        <is>
          <t>avverkningsanmälan</t>
        </is>
      </c>
      <c r="C307" t="inlineStr">
        <is>
          <t>Föryngringsavverkning</t>
        </is>
      </c>
      <c r="D307" s="1" t="n">
        <v>45554</v>
      </c>
      <c r="E307" s="1" t="n">
        <v>46261</v>
      </c>
      <c r="F307" t="inlineStr">
        <is>
          <t>UPPSALA LÄN</t>
        </is>
      </c>
      <c r="G307" t="inlineStr">
        <is>
          <t>ENKÖPING</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40223-2024</t>
        </is>
      </c>
      <c r="B308" t="inlineStr">
        <is>
          <t>avverkningsanmälan</t>
        </is>
      </c>
      <c r="C308" t="inlineStr">
        <is>
          <t>Föryngringsavverkning</t>
        </is>
      </c>
      <c r="D308" s="1" t="n">
        <v>45554</v>
      </c>
      <c r="E308" s="1" t="n">
        <v>46261</v>
      </c>
      <c r="F308" t="inlineStr">
        <is>
          <t>UPPSALA LÄN</t>
        </is>
      </c>
      <c r="G308" t="inlineStr">
        <is>
          <t>ENKÖPING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69879-2021</t>
        </is>
      </c>
      <c r="B309" t="inlineStr">
        <is>
          <t>avverkningsanmälan</t>
        </is>
      </c>
      <c r="C309" t="inlineStr">
        <is>
          <t>Föryngringsavverkning</t>
        </is>
      </c>
      <c r="D309" s="1" t="n">
        <v>44532</v>
      </c>
      <c r="E309" s="1" t="n">
        <v>46261</v>
      </c>
      <c r="F309" t="inlineStr">
        <is>
          <t>UPPSALA LÄN</t>
        </is>
      </c>
      <c r="G309" t="inlineStr">
        <is>
          <t>ENKÖPING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23301-2024</t>
        </is>
      </c>
      <c r="B310" t="inlineStr">
        <is>
          <t>avverkningsanmälan</t>
        </is>
      </c>
      <c r="C310" t="inlineStr">
        <is>
          <t>Föryngringsavverkning</t>
        </is>
      </c>
      <c r="D310" s="1" t="n">
        <v>45453</v>
      </c>
      <c r="E310" s="1" t="n">
        <v>46261</v>
      </c>
      <c r="F310" t="inlineStr">
        <is>
          <t>UPPSALA LÄN</t>
        </is>
      </c>
      <c r="G310" t="inlineStr">
        <is>
          <t>ENKÖPING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2833-2025</t>
        </is>
      </c>
      <c r="B311" t="inlineStr">
        <is>
          <t>avverkningsanmälan</t>
        </is>
      </c>
      <c r="C311" t="inlineStr">
        <is>
          <t>Föryngringsavverkning</t>
        </is>
      </c>
      <c r="D311" s="1" t="n">
        <v>45677</v>
      </c>
      <c r="E311" s="1" t="n">
        <v>46261</v>
      </c>
      <c r="F311" t="inlineStr">
        <is>
          <t>UPPSALA LÄN</t>
        </is>
      </c>
      <c r="G311" t="inlineStr">
        <is>
          <t>ENKÖPING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33619-2022</t>
        </is>
      </c>
      <c r="B312" t="inlineStr">
        <is>
          <t>avverkningsanmälan</t>
        </is>
      </c>
      <c r="C312" t="inlineStr">
        <is>
          <t>Föryngringsavverkning</t>
        </is>
      </c>
      <c r="D312" s="1" t="n">
        <v>44789</v>
      </c>
      <c r="E312" s="1" t="n">
        <v>46261</v>
      </c>
      <c r="F312" t="inlineStr">
        <is>
          <t>UPPSALA LÄN</t>
        </is>
      </c>
      <c r="G312" t="inlineStr">
        <is>
          <t>ENKÖPING</t>
        </is>
      </c>
      <c r="H312" t="inlineStr">
        <is>
          <t>Allmännings- och besparingsskogar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31604-2023</t>
        </is>
      </c>
      <c r="B313" t="inlineStr">
        <is>
          <t>avverkningsanmälan</t>
        </is>
      </c>
      <c r="C313" t="inlineStr">
        <is>
          <t>Föryngringsavverkning</t>
        </is>
      </c>
      <c r="D313" s="1" t="n">
        <v>45117</v>
      </c>
      <c r="E313" s="1" t="n">
        <v>46261</v>
      </c>
      <c r="F313" t="inlineStr">
        <is>
          <t>UPPSALA LÄN</t>
        </is>
      </c>
      <c r="G313" t="inlineStr">
        <is>
          <t>ENKÖPING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59602-2024</t>
        </is>
      </c>
      <c r="B314" t="inlineStr">
        <is>
          <t>avverkningsanmälan</t>
        </is>
      </c>
      <c r="C314" t="inlineStr">
        <is>
          <t>Föryngringsavverkning</t>
        </is>
      </c>
      <c r="D314" s="1" t="n">
        <v>45638</v>
      </c>
      <c r="E314" s="1" t="n">
        <v>46261</v>
      </c>
      <c r="F314" t="inlineStr">
        <is>
          <t>UPPSALA LÄN</t>
        </is>
      </c>
      <c r="G314" t="inlineStr">
        <is>
          <t>ENKÖPING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19488-2022</t>
        </is>
      </c>
      <c r="B315" t="inlineStr">
        <is>
          <t>avverkningsanmälan</t>
        </is>
      </c>
      <c r="C315" t="inlineStr">
        <is>
          <t>Föryngringsavverkning</t>
        </is>
      </c>
      <c r="D315" s="1" t="n">
        <v>44693</v>
      </c>
      <c r="E315" s="1" t="n">
        <v>46261</v>
      </c>
      <c r="F315" t="inlineStr">
        <is>
          <t>UPPSALA LÄN</t>
        </is>
      </c>
      <c r="G315" t="inlineStr">
        <is>
          <t>ENKÖPING</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41826-2024</t>
        </is>
      </c>
      <c r="B316" t="inlineStr">
        <is>
          <t>avverkningsanmälan</t>
        </is>
      </c>
      <c r="C316" t="inlineStr">
        <is>
          <t>Föryngringsavverkning</t>
        </is>
      </c>
      <c r="D316" s="1" t="n">
        <v>45561</v>
      </c>
      <c r="E316" s="1" t="n">
        <v>46261</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16916-2022</t>
        </is>
      </c>
      <c r="B317" t="inlineStr">
        <is>
          <t>avverkningsanmälan</t>
        </is>
      </c>
      <c r="C317" t="inlineStr">
        <is>
          <t>Föryngringsavverkning</t>
        </is>
      </c>
      <c r="D317" s="1" t="n">
        <v>44676</v>
      </c>
      <c r="E317" s="1" t="n">
        <v>46261</v>
      </c>
      <c r="F317" t="inlineStr">
        <is>
          <t>UPPSALA LÄN</t>
        </is>
      </c>
      <c r="G317" t="inlineStr">
        <is>
          <t>ENKÖPING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44115-2024</t>
        </is>
      </c>
      <c r="B318" t="inlineStr">
        <is>
          <t>avverkningsanmälan</t>
        </is>
      </c>
      <c r="C318" t="inlineStr">
        <is>
          <t>Avverkning för annat ändamål</t>
        </is>
      </c>
      <c r="D318" s="1" t="n">
        <v>45572</v>
      </c>
      <c r="E318" s="1" t="n">
        <v>46261</v>
      </c>
      <c r="F318" t="inlineStr">
        <is>
          <t>UPPSALA LÄN</t>
        </is>
      </c>
      <c r="G318" t="inlineStr">
        <is>
          <t>ENKÖPING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30634-2022</t>
        </is>
      </c>
      <c r="B319" t="inlineStr">
        <is>
          <t>avverkningsanmälan</t>
        </is>
      </c>
      <c r="C319" t="inlineStr">
        <is>
          <t>Föryngringsavverkning</t>
        </is>
      </c>
      <c r="D319" s="1" t="n">
        <v>44763</v>
      </c>
      <c r="E319" s="1" t="n">
        <v>46261</v>
      </c>
      <c r="F319" t="inlineStr">
        <is>
          <t>UPPSALA LÄN</t>
        </is>
      </c>
      <c r="G319" t="inlineStr">
        <is>
          <t>ENKÖPING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3300-2025</t>
        </is>
      </c>
      <c r="B320" t="inlineStr">
        <is>
          <t>avverkningsanmälan</t>
        </is>
      </c>
      <c r="C320" t="inlineStr">
        <is>
          <t>Föryngringsavverkning</t>
        </is>
      </c>
      <c r="D320" s="1" t="n">
        <v>45679</v>
      </c>
      <c r="E320" s="1" t="n">
        <v>46261</v>
      </c>
      <c r="F320" t="inlineStr">
        <is>
          <t>UPPSALA LÄN</t>
        </is>
      </c>
      <c r="G320" t="inlineStr">
        <is>
          <t>ENKÖPING</t>
        </is>
      </c>
      <c r="I320" t="n">
        <v>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51120-2023</t>
        </is>
      </c>
      <c r="B321" t="inlineStr">
        <is>
          <t>avverkningsanmälan</t>
        </is>
      </c>
      <c r="C321" t="inlineStr">
        <is>
          <t>Föryngringsavverkning</t>
        </is>
      </c>
      <c r="D321" s="1" t="n">
        <v>45219</v>
      </c>
      <c r="E321" s="1" t="n">
        <v>46261</v>
      </c>
      <c r="F321" t="inlineStr">
        <is>
          <t>UPPSALA LÄN</t>
        </is>
      </c>
      <c r="G321" t="inlineStr">
        <is>
          <t>ENKÖPING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54357-2023</t>
        </is>
      </c>
      <c r="B322" t="inlineStr">
        <is>
          <t>avverkningsanmälan</t>
        </is>
      </c>
      <c r="C322" t="inlineStr">
        <is>
          <t>Föryngringsavverkning</t>
        </is>
      </c>
      <c r="D322" s="1" t="n">
        <v>45225</v>
      </c>
      <c r="E322" s="1" t="n">
        <v>46261</v>
      </c>
      <c r="F322" t="inlineStr">
        <is>
          <t>UPPSALA LÄN</t>
        </is>
      </c>
      <c r="G322" t="inlineStr">
        <is>
          <t>ENKÖPING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63402-2023</t>
        </is>
      </c>
      <c r="B323" t="inlineStr">
        <is>
          <t>avverkningsanmälan</t>
        </is>
      </c>
      <c r="C323" t="inlineStr">
        <is>
          <t>Föryngringsavverkning</t>
        </is>
      </c>
      <c r="D323" s="1" t="n">
        <v>45274</v>
      </c>
      <c r="E323" s="1" t="n">
        <v>46261</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62158-2023</t>
        </is>
      </c>
      <c r="B324" t="inlineStr">
        <is>
          <t>avverkningsanmälan</t>
        </is>
      </c>
      <c r="C324" t="inlineStr">
        <is>
          <t>Föryngringsavverkning</t>
        </is>
      </c>
      <c r="D324" s="1" t="n">
        <v>45267</v>
      </c>
      <c r="E324" s="1" t="n">
        <v>46261</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60874-2023</t>
        </is>
      </c>
      <c r="B325" t="inlineStr">
        <is>
          <t>avverkningsanmälan</t>
        </is>
      </c>
      <c r="C325" t="inlineStr">
        <is>
          <t>Föryngringsavverkning</t>
        </is>
      </c>
      <c r="D325" s="1" t="n">
        <v>45261</v>
      </c>
      <c r="E325" s="1" t="n">
        <v>46261</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3550-2023</t>
        </is>
      </c>
      <c r="B326" t="inlineStr">
        <is>
          <t>avverkningsanmälan</t>
        </is>
      </c>
      <c r="C326" t="inlineStr">
        <is>
          <t>Föryngringsavverkning</t>
        </is>
      </c>
      <c r="D326" s="1" t="n">
        <v>44950</v>
      </c>
      <c r="E326" s="1" t="n">
        <v>46261</v>
      </c>
      <c r="F326" t="inlineStr">
        <is>
          <t>UPPSALA LÄN</t>
        </is>
      </c>
      <c r="G326" t="inlineStr">
        <is>
          <t>ENKÖPING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26292-2022</t>
        </is>
      </c>
      <c r="B327" t="inlineStr">
        <is>
          <t>avverkningsanmälan</t>
        </is>
      </c>
      <c r="C327" t="inlineStr">
        <is>
          <t>Föryngringsavverkning</t>
        </is>
      </c>
      <c r="D327" s="1" t="n">
        <v>44735</v>
      </c>
      <c r="E327" s="1" t="n">
        <v>46261</v>
      </c>
      <c r="F327" t="inlineStr">
        <is>
          <t>UPPSALA LÄN</t>
        </is>
      </c>
      <c r="G327" t="inlineStr">
        <is>
          <t>ENKÖPING</t>
        </is>
      </c>
      <c r="H327" t="inlineStr">
        <is>
          <t>Kyrkan</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10458-2022</t>
        </is>
      </c>
      <c r="B328" t="inlineStr">
        <is>
          <t>avverkningsanmälan</t>
        </is>
      </c>
      <c r="C328" t="inlineStr">
        <is>
          <t>Föryngringsavverkning</t>
        </is>
      </c>
      <c r="D328" s="1" t="n">
        <v>44623</v>
      </c>
      <c r="E328" s="1" t="n">
        <v>46261</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45142-2023</t>
        </is>
      </c>
      <c r="B329" t="inlineStr">
        <is>
          <t>avverkningsanmälan</t>
        </is>
      </c>
      <c r="C329" t="inlineStr">
        <is>
          <t>Avverkning för att bevara och utveckla /försöksver</t>
        </is>
      </c>
      <c r="D329" s="1" t="n">
        <v>45191</v>
      </c>
      <c r="E329" s="1" t="n">
        <v>46261</v>
      </c>
      <c r="F329" t="inlineStr">
        <is>
          <t>UPPSALA LÄN</t>
        </is>
      </c>
      <c r="G329" t="inlineStr">
        <is>
          <t>ENKÖPING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57998-2024</t>
        </is>
      </c>
      <c r="B330" t="inlineStr">
        <is>
          <t>avverkningsanmälan</t>
        </is>
      </c>
      <c r="C330" t="inlineStr">
        <is>
          <t>Föryngringsavverkning</t>
        </is>
      </c>
      <c r="D330" s="1" t="n">
        <v>45631</v>
      </c>
      <c r="E330" s="1" t="n">
        <v>46261</v>
      </c>
      <c r="F330" t="inlineStr">
        <is>
          <t>UPPSALA LÄN</t>
        </is>
      </c>
      <c r="G330" t="inlineStr">
        <is>
          <t>ENKÖPING</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14332-2024</t>
        </is>
      </c>
      <c r="B331" t="inlineStr">
        <is>
          <t>avverkningsanmälan</t>
        </is>
      </c>
      <c r="C331" t="inlineStr">
        <is>
          <t>Föryngringsavverkning</t>
        </is>
      </c>
      <c r="D331" s="1" t="n">
        <v>45393</v>
      </c>
      <c r="E331" s="1" t="n">
        <v>46261</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18831-2023</t>
        </is>
      </c>
      <c r="B332" t="inlineStr">
        <is>
          <t>avverkningsanmälan</t>
        </is>
      </c>
      <c r="C332" t="inlineStr">
        <is>
          <t>Föryngringsavverkning</t>
        </is>
      </c>
      <c r="D332" s="1" t="n">
        <v>45044</v>
      </c>
      <c r="E332" s="1" t="n">
        <v>46261</v>
      </c>
      <c r="F332" t="inlineStr">
        <is>
          <t>UPPSALA LÄN</t>
        </is>
      </c>
      <c r="G332" t="inlineStr">
        <is>
          <t>ENKÖPING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33581-2023</t>
        </is>
      </c>
      <c r="B333" t="inlineStr">
        <is>
          <t>avverkningsanmälan</t>
        </is>
      </c>
      <c r="C333" t="inlineStr">
        <is>
          <t>Föryngringsavverkning</t>
        </is>
      </c>
      <c r="D333" s="1" t="n">
        <v>45131</v>
      </c>
      <c r="E333" s="1" t="n">
        <v>46261</v>
      </c>
      <c r="F333" t="inlineStr">
        <is>
          <t>UPPSALA LÄN</t>
        </is>
      </c>
      <c r="G333" t="inlineStr">
        <is>
          <t>ENKÖPING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37115-2024</t>
        </is>
      </c>
      <c r="B334" t="inlineStr">
        <is>
          <t>avverkningsanmälan</t>
        </is>
      </c>
      <c r="C334" t="inlineStr">
        <is>
          <t>Föryngringsavverkning</t>
        </is>
      </c>
      <c r="D334" s="1" t="n">
        <v>45539</v>
      </c>
      <c r="E334" s="1" t="n">
        <v>46261</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1960-2022</t>
        </is>
      </c>
      <c r="B335" t="inlineStr">
        <is>
          <t>avverkningsanmälan</t>
        </is>
      </c>
      <c r="C335" t="inlineStr">
        <is>
          <t>Föryngringsavverkning</t>
        </is>
      </c>
      <c r="D335" s="1" t="n">
        <v>44575</v>
      </c>
      <c r="E335" s="1" t="n">
        <v>46261</v>
      </c>
      <c r="F335" t="inlineStr">
        <is>
          <t>UPPSALA LÄN</t>
        </is>
      </c>
      <c r="G335" t="inlineStr">
        <is>
          <t>ENKÖPING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18028-2023</t>
        </is>
      </c>
      <c r="B336" t="inlineStr">
        <is>
          <t>avverkningsanmälan</t>
        </is>
      </c>
      <c r="C336" t="inlineStr">
        <is>
          <t>Föryngringsavverkning</t>
        </is>
      </c>
      <c r="D336" s="1" t="n">
        <v>45040</v>
      </c>
      <c r="E336" s="1" t="n">
        <v>46261</v>
      </c>
      <c r="F336" t="inlineStr">
        <is>
          <t>UPPSALA LÄN</t>
        </is>
      </c>
      <c r="G336" t="inlineStr">
        <is>
          <t>ENKÖPING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49568-2022</t>
        </is>
      </c>
      <c r="B337" t="inlineStr">
        <is>
          <t>avverkningsanmälan</t>
        </is>
      </c>
      <c r="C337" t="inlineStr">
        <is>
          <t>Föryngringsavverkning</t>
        </is>
      </c>
      <c r="D337" s="1" t="n">
        <v>44862</v>
      </c>
      <c r="E337" s="1" t="n">
        <v>46261</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42459-2024</t>
        </is>
      </c>
      <c r="B338" t="inlineStr">
        <is>
          <t>avverkningsanmälan</t>
        </is>
      </c>
      <c r="C338" t="inlineStr">
        <is>
          <t>Föryngringsavverkning</t>
        </is>
      </c>
      <c r="D338" s="1" t="n">
        <v>45565</v>
      </c>
      <c r="E338" s="1" t="n">
        <v>46261</v>
      </c>
      <c r="F338" t="inlineStr">
        <is>
          <t>UPPSALA LÄN</t>
        </is>
      </c>
      <c r="G338" t="inlineStr">
        <is>
          <t>ENKÖPING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48864-2022</t>
        </is>
      </c>
      <c r="B339" t="inlineStr">
        <is>
          <t>avverkningsanmälan</t>
        </is>
      </c>
      <c r="C339" t="inlineStr">
        <is>
          <t>Föryngringsavverkning</t>
        </is>
      </c>
      <c r="D339" s="1" t="n">
        <v>44859</v>
      </c>
      <c r="E339" s="1" t="n">
        <v>46261</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31622-2022</t>
        </is>
      </c>
      <c r="B340" t="inlineStr">
        <is>
          <t>avverkningsanmälan</t>
        </is>
      </c>
      <c r="C340" t="inlineStr">
        <is>
          <t>Föryngringsavverkning</t>
        </is>
      </c>
      <c r="D340" s="1" t="n">
        <v>44775</v>
      </c>
      <c r="E340" s="1" t="n">
        <v>46261</v>
      </c>
      <c r="F340" t="inlineStr">
        <is>
          <t>UPPSALA LÄN</t>
        </is>
      </c>
      <c r="G340" t="inlineStr">
        <is>
          <t>ENKÖPING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6356-2022</t>
        </is>
      </c>
      <c r="B341" t="inlineStr">
        <is>
          <t>avverkningsanmälan</t>
        </is>
      </c>
      <c r="C341" t="inlineStr">
        <is>
          <t>Föryngringsavverkning</t>
        </is>
      </c>
      <c r="D341" s="1" t="n">
        <v>44600</v>
      </c>
      <c r="E341" s="1" t="n">
        <v>46261</v>
      </c>
      <c r="F341" t="inlineStr">
        <is>
          <t>UPPSALA LÄN</t>
        </is>
      </c>
      <c r="G341" t="inlineStr">
        <is>
          <t>ENKÖPING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57147-2021</t>
        </is>
      </c>
      <c r="B342" t="inlineStr">
        <is>
          <t>avverkningsanmälan</t>
        </is>
      </c>
      <c r="C342" t="inlineStr">
        <is>
          <t>Föryngringsavverkning</t>
        </is>
      </c>
      <c r="D342" s="1" t="n">
        <v>44482</v>
      </c>
      <c r="E342" s="1" t="n">
        <v>46261</v>
      </c>
      <c r="F342" t="inlineStr">
        <is>
          <t>UPPSALA LÄN</t>
        </is>
      </c>
      <c r="G342" t="inlineStr">
        <is>
          <t>ENKÖPING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47909-2024</t>
        </is>
      </c>
      <c r="B343" t="inlineStr">
        <is>
          <t>avverkningsanmälan</t>
        </is>
      </c>
      <c r="C343" t="inlineStr">
        <is>
          <t>Föryngringsavverkning</t>
        </is>
      </c>
      <c r="D343" s="1" t="n">
        <v>45589</v>
      </c>
      <c r="E343" s="1" t="n">
        <v>46261</v>
      </c>
      <c r="F343" t="inlineStr">
        <is>
          <t>UPPSALA LÄN</t>
        </is>
      </c>
      <c r="G343" t="inlineStr">
        <is>
          <t>ENKÖPING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52005-2024</t>
        </is>
      </c>
      <c r="B344" t="inlineStr">
        <is>
          <t>avverkningsanmälan</t>
        </is>
      </c>
      <c r="C344" t="inlineStr">
        <is>
          <t>Föryngringsavverkning</t>
        </is>
      </c>
      <c r="D344" s="1" t="n">
        <v>45607</v>
      </c>
      <c r="E344" s="1" t="n">
        <v>46261</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43492-2023</t>
        </is>
      </c>
      <c r="B345" t="inlineStr">
        <is>
          <t>avverkningsanmälan</t>
        </is>
      </c>
      <c r="C345" t="inlineStr">
        <is>
          <t>Föryngringsavverkning</t>
        </is>
      </c>
      <c r="D345" s="1" t="n">
        <v>45181</v>
      </c>
      <c r="E345" s="1" t="n">
        <v>46261</v>
      </c>
      <c r="F345" t="inlineStr">
        <is>
          <t>UPPSALA LÄN</t>
        </is>
      </c>
      <c r="G345" t="inlineStr">
        <is>
          <t>ENKÖPING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1536-2024</t>
        </is>
      </c>
      <c r="B346" t="inlineStr">
        <is>
          <t>avverkningsanmälan</t>
        </is>
      </c>
      <c r="C346" t="inlineStr">
        <is>
          <t>Föryngringsavverkning</t>
        </is>
      </c>
      <c r="D346" s="1" t="n">
        <v>45306</v>
      </c>
      <c r="E346" s="1" t="n">
        <v>46261</v>
      </c>
      <c r="F346" t="inlineStr">
        <is>
          <t>UPPSALA LÄN</t>
        </is>
      </c>
      <c r="G346" t="inlineStr">
        <is>
          <t>ENKÖPING</t>
        </is>
      </c>
      <c r="H346" t="inlineStr">
        <is>
          <t>Kyrkan</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16916-2023</t>
        </is>
      </c>
      <c r="B347" t="inlineStr">
        <is>
          <t>avverkningsanmälan</t>
        </is>
      </c>
      <c r="C347" t="inlineStr">
        <is>
          <t>Föryngringsavverkning</t>
        </is>
      </c>
      <c r="D347" s="1" t="n">
        <v>45033</v>
      </c>
      <c r="E347" s="1" t="n">
        <v>46261</v>
      </c>
      <c r="F347" t="inlineStr">
        <is>
          <t>UPPSALA LÄN</t>
        </is>
      </c>
      <c r="G347" t="inlineStr">
        <is>
          <t>ENKÖPING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16920-2023</t>
        </is>
      </c>
      <c r="B348" t="inlineStr">
        <is>
          <t>avverkningsanmälan</t>
        </is>
      </c>
      <c r="C348" t="inlineStr">
        <is>
          <t>Föryngringsavverkning</t>
        </is>
      </c>
      <c r="D348" s="1" t="n">
        <v>45033</v>
      </c>
      <c r="E348" s="1" t="n">
        <v>46261</v>
      </c>
      <c r="F348" t="inlineStr">
        <is>
          <t>UPPSALA LÄN</t>
        </is>
      </c>
      <c r="G348" t="inlineStr">
        <is>
          <t>ENKÖPING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52388-2024</t>
        </is>
      </c>
      <c r="B349" t="inlineStr">
        <is>
          <t>avverkningsanmälan</t>
        </is>
      </c>
      <c r="C349" t="inlineStr">
        <is>
          <t>Föryngringsavverkning</t>
        </is>
      </c>
      <c r="D349" s="1" t="n">
        <v>45609</v>
      </c>
      <c r="E349" s="1" t="n">
        <v>46261</v>
      </c>
      <c r="F349" t="inlineStr">
        <is>
          <t>UPPSALA LÄN</t>
        </is>
      </c>
      <c r="G349" t="inlineStr">
        <is>
          <t>ENKÖPING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1992-2022</t>
        </is>
      </c>
      <c r="B350" t="inlineStr">
        <is>
          <t>avverkningsanmälan</t>
        </is>
      </c>
      <c r="C350" t="inlineStr">
        <is>
          <t>Föryngringsavverkning</t>
        </is>
      </c>
      <c r="D350" s="1" t="n">
        <v>44575</v>
      </c>
      <c r="E350" s="1" t="n">
        <v>46261</v>
      </c>
      <c r="F350" t="inlineStr">
        <is>
          <t>UPPSALA LÄN</t>
        </is>
      </c>
      <c r="G350" t="inlineStr">
        <is>
          <t>ENKÖPING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6626-2023</t>
        </is>
      </c>
      <c r="B351" t="inlineStr">
        <is>
          <t>avverkningsanmälan</t>
        </is>
      </c>
      <c r="C351" t="inlineStr">
        <is>
          <t>Föryngringsavverkning</t>
        </is>
      </c>
      <c r="D351" s="1" t="n">
        <v>44966</v>
      </c>
      <c r="E351" s="1" t="n">
        <v>46261</v>
      </c>
      <c r="F351" t="inlineStr">
        <is>
          <t>UPPSALA LÄN</t>
        </is>
      </c>
      <c r="G351" t="inlineStr">
        <is>
          <t>ENKÖPING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48843-2023</t>
        </is>
      </c>
      <c r="B352" t="inlineStr">
        <is>
          <t>avverkningsanmälan</t>
        </is>
      </c>
      <c r="C352" t="inlineStr">
        <is>
          <t>Föryngringsavverkning</t>
        </is>
      </c>
      <c r="D352" s="1" t="n">
        <v>45209</v>
      </c>
      <c r="E352" s="1" t="n">
        <v>46261</v>
      </c>
      <c r="F352" t="inlineStr">
        <is>
          <t>UPPSALA LÄN</t>
        </is>
      </c>
      <c r="G352" t="inlineStr">
        <is>
          <t>ENKÖPING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57940-2022</t>
        </is>
      </c>
      <c r="B353" t="inlineStr">
        <is>
          <t>avverkningsanmälan</t>
        </is>
      </c>
      <c r="C353" t="inlineStr">
        <is>
          <t>Föryngringsavverkning</t>
        </is>
      </c>
      <c r="D353" s="1" t="n">
        <v>44900</v>
      </c>
      <c r="E353" s="1" t="n">
        <v>46261</v>
      </c>
      <c r="F353" t="inlineStr">
        <is>
          <t>UPPSALA LÄN</t>
        </is>
      </c>
      <c r="G353" t="inlineStr">
        <is>
          <t>ENKÖPING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35079-2024</t>
        </is>
      </c>
      <c r="B354" t="inlineStr">
        <is>
          <t>avverkningsanmälan</t>
        </is>
      </c>
      <c r="C354" t="inlineStr">
        <is>
          <t>Föryngringsavverkning</t>
        </is>
      </c>
      <c r="D354" s="1" t="n">
        <v>45527</v>
      </c>
      <c r="E354" s="1" t="n">
        <v>46261</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53595-2023</t>
        </is>
      </c>
      <c r="B355" t="inlineStr">
        <is>
          <t>avverkningsanmälan</t>
        </is>
      </c>
      <c r="C355" t="inlineStr">
        <is>
          <t>Föryngringsavverkning</t>
        </is>
      </c>
      <c r="D355" s="1" t="n">
        <v>45223</v>
      </c>
      <c r="E355" s="1" t="n">
        <v>46261</v>
      </c>
      <c r="F355" t="inlineStr">
        <is>
          <t>UPPSALA LÄN</t>
        </is>
      </c>
      <c r="G355" t="inlineStr">
        <is>
          <t>ENKÖPING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60533-2021</t>
        </is>
      </c>
      <c r="B356" t="inlineStr">
        <is>
          <t>avverkningsanmälan</t>
        </is>
      </c>
      <c r="C356" t="inlineStr">
        <is>
          <t>Föryngringsavverkning</t>
        </is>
      </c>
      <c r="D356" s="1" t="n">
        <v>44496</v>
      </c>
      <c r="E356" s="1" t="n">
        <v>46261</v>
      </c>
      <c r="F356" t="inlineStr">
        <is>
          <t>UPPSALA LÄN</t>
        </is>
      </c>
      <c r="G356" t="inlineStr">
        <is>
          <t>ENKÖPING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15757-2023</t>
        </is>
      </c>
      <c r="B357" t="inlineStr">
        <is>
          <t>avverkningsanmälan</t>
        </is>
      </c>
      <c r="C357" t="inlineStr">
        <is>
          <t>Föryngringsavverkning</t>
        </is>
      </c>
      <c r="D357" s="1" t="n">
        <v>45021</v>
      </c>
      <c r="E357" s="1" t="n">
        <v>46261</v>
      </c>
      <c r="F357" t="inlineStr">
        <is>
          <t>UPPSALA LÄN</t>
        </is>
      </c>
      <c r="G357" t="inlineStr">
        <is>
          <t>ENKÖPING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43230-2023</t>
        </is>
      </c>
      <c r="B358" t="inlineStr">
        <is>
          <t>avverkningsanmälan</t>
        </is>
      </c>
      <c r="C358" t="inlineStr">
        <is>
          <t>Föryngringsavverkning</t>
        </is>
      </c>
      <c r="D358" s="1" t="n">
        <v>45183</v>
      </c>
      <c r="E358" s="1" t="n">
        <v>46261</v>
      </c>
      <c r="F358" t="inlineStr">
        <is>
          <t>UPPSALA LÄN</t>
        </is>
      </c>
      <c r="G358" t="inlineStr">
        <is>
          <t>ENKÖPING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56886-2023</t>
        </is>
      </c>
      <c r="B359" t="inlineStr">
        <is>
          <t>avverkningsanmälan</t>
        </is>
      </c>
      <c r="C359" t="inlineStr">
        <is>
          <t>Avverkning för annat ändamål</t>
        </is>
      </c>
      <c r="D359" s="1" t="n">
        <v>45239</v>
      </c>
      <c r="E359" s="1" t="n">
        <v>46261</v>
      </c>
      <c r="F359" t="inlineStr">
        <is>
          <t>UPPSALA LÄN</t>
        </is>
      </c>
      <c r="G359" t="inlineStr">
        <is>
          <t>ENKÖPING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12102-2024</t>
        </is>
      </c>
      <c r="B360" t="inlineStr">
        <is>
          <t>avverkningsanmälan</t>
        </is>
      </c>
      <c r="C360" t="inlineStr">
        <is>
          <t>Föryngringsavverkning</t>
        </is>
      </c>
      <c r="D360" s="1" t="n">
        <v>45377</v>
      </c>
      <c r="E360" s="1" t="n">
        <v>46261</v>
      </c>
      <c r="F360" t="inlineStr">
        <is>
          <t>UPPSALA LÄN</t>
        </is>
      </c>
      <c r="G360" t="inlineStr">
        <is>
          <t>ENKÖPING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45283-2022</t>
        </is>
      </c>
      <c r="B361" t="inlineStr">
        <is>
          <t>avverkningsanmälan</t>
        </is>
      </c>
      <c r="C361" t="inlineStr">
        <is>
          <t>Föryngringsavverkning</t>
        </is>
      </c>
      <c r="D361" s="1" t="n">
        <v>44844</v>
      </c>
      <c r="E361" s="1" t="n">
        <v>46261</v>
      </c>
      <c r="F361" t="inlineStr">
        <is>
          <t>UPPSALA LÄN</t>
        </is>
      </c>
      <c r="G361" t="inlineStr">
        <is>
          <t>ENKÖPING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58147-2024</t>
        </is>
      </c>
      <c r="B362" t="inlineStr">
        <is>
          <t>avverkningsanmälan</t>
        </is>
      </c>
      <c r="C362" t="inlineStr">
        <is>
          <t>Föryngringsavverkning</t>
        </is>
      </c>
      <c r="D362" s="1" t="n">
        <v>45632</v>
      </c>
      <c r="E362" s="1" t="n">
        <v>46261</v>
      </c>
      <c r="F362" t="inlineStr">
        <is>
          <t>UPPSALA LÄN</t>
        </is>
      </c>
      <c r="G362" t="inlineStr">
        <is>
          <t>ENKÖPING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34735-2023</t>
        </is>
      </c>
      <c r="B363" t="inlineStr">
        <is>
          <t>avverkningsanmälan</t>
        </is>
      </c>
      <c r="C363" t="inlineStr">
        <is>
          <t>Föryngringsavverkning</t>
        </is>
      </c>
      <c r="D363" s="1" t="n">
        <v>45139</v>
      </c>
      <c r="E363" s="1" t="n">
        <v>46261</v>
      </c>
      <c r="F363" t="inlineStr">
        <is>
          <t>UPPSALA LÄN</t>
        </is>
      </c>
      <c r="G363" t="inlineStr">
        <is>
          <t>ENKÖPING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57209-2024</t>
        </is>
      </c>
      <c r="B364" t="inlineStr">
        <is>
          <t>avverkningsanmälan</t>
        </is>
      </c>
      <c r="C364" t="inlineStr">
        <is>
          <t>Föryngringsavverkning</t>
        </is>
      </c>
      <c r="D364" s="1" t="n">
        <v>45629</v>
      </c>
      <c r="E364" s="1" t="n">
        <v>46261</v>
      </c>
      <c r="F364" t="inlineStr">
        <is>
          <t>UPPSALA LÄN</t>
        </is>
      </c>
      <c r="G364" t="inlineStr">
        <is>
          <t>ENKÖPING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13110-2023</t>
        </is>
      </c>
      <c r="B365" t="inlineStr">
        <is>
          <t>avverkningsanmälan</t>
        </is>
      </c>
      <c r="C365" t="inlineStr">
        <is>
          <t>Föryngringsavverkning</t>
        </is>
      </c>
      <c r="D365" s="1" t="n">
        <v>45001</v>
      </c>
      <c r="E365" s="1" t="n">
        <v>46261</v>
      </c>
      <c r="F365" t="inlineStr">
        <is>
          <t>UPPSALA LÄN</t>
        </is>
      </c>
      <c r="G365" t="inlineStr">
        <is>
          <t>ENKÖPING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49627-2024</t>
        </is>
      </c>
      <c r="B366" t="inlineStr">
        <is>
          <t>avverkningsanmälan</t>
        </is>
      </c>
      <c r="C366" t="inlineStr">
        <is>
          <t>Föryngringsavverkning</t>
        </is>
      </c>
      <c r="D366" s="1" t="n">
        <v>45596</v>
      </c>
      <c r="E366" s="1" t="n">
        <v>46261</v>
      </c>
      <c r="F366" t="inlineStr">
        <is>
          <t>UPPSALA LÄN</t>
        </is>
      </c>
      <c r="G366" t="inlineStr">
        <is>
          <t>ENKÖPING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9231-2023</t>
        </is>
      </c>
      <c r="B367" t="inlineStr">
        <is>
          <t>avverkningsanmälan</t>
        </is>
      </c>
      <c r="C367" t="inlineStr">
        <is>
          <t>Föryngringsavverkning</t>
        </is>
      </c>
      <c r="D367" s="1" t="n">
        <v>44980</v>
      </c>
      <c r="E367" s="1" t="n">
        <v>46261</v>
      </c>
      <c r="F367" t="inlineStr">
        <is>
          <t>UPPSALA LÄN</t>
        </is>
      </c>
      <c r="G367" t="inlineStr">
        <is>
          <t>ENKÖPING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27538-2023</t>
        </is>
      </c>
      <c r="B368" t="inlineStr">
        <is>
          <t>avverkningsanmälan</t>
        </is>
      </c>
      <c r="C368" t="inlineStr">
        <is>
          <t>Föryngringsavverkning</t>
        </is>
      </c>
      <c r="D368" s="1" t="n">
        <v>45097</v>
      </c>
      <c r="E368" s="1" t="n">
        <v>46261</v>
      </c>
      <c r="F368" t="inlineStr">
        <is>
          <t>UPPSALA LÄN</t>
        </is>
      </c>
      <c r="G368" t="inlineStr">
        <is>
          <t>ENKÖPING</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18821-2023</t>
        </is>
      </c>
      <c r="B369" t="inlineStr">
        <is>
          <t>avverkningsanmälan</t>
        </is>
      </c>
      <c r="C369" t="inlineStr">
        <is>
          <t>Föryngringsavverkning</t>
        </is>
      </c>
      <c r="D369" s="1" t="n">
        <v>45044</v>
      </c>
      <c r="E369" s="1" t="n">
        <v>46261</v>
      </c>
      <c r="F369" t="inlineStr">
        <is>
          <t>UPPSALA LÄN</t>
        </is>
      </c>
      <c r="G369" t="inlineStr">
        <is>
          <t>ENKÖPING</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9041-2023</t>
        </is>
      </c>
      <c r="B370" t="inlineStr">
        <is>
          <t>avverkningsanmälan</t>
        </is>
      </c>
      <c r="C370" t="inlineStr">
        <is>
          <t>Föryngringsavverkning</t>
        </is>
      </c>
      <c r="D370" s="1" t="n">
        <v>44979</v>
      </c>
      <c r="E370" s="1" t="n">
        <v>46261</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27786-2023</t>
        </is>
      </c>
      <c r="B371" t="inlineStr">
        <is>
          <t>avverkningsanmälan</t>
        </is>
      </c>
      <c r="C371" t="inlineStr">
        <is>
          <t>Föryngringsavverkning</t>
        </is>
      </c>
      <c r="D371" s="1" t="n">
        <v>45098</v>
      </c>
      <c r="E371" s="1" t="n">
        <v>46261</v>
      </c>
      <c r="F371" t="inlineStr">
        <is>
          <t>UPPSALA LÄN</t>
        </is>
      </c>
      <c r="G371" t="inlineStr">
        <is>
          <t>ENKÖPING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15942-2022</t>
        </is>
      </c>
      <c r="B372" t="inlineStr">
        <is>
          <t>avverkningsanmälan</t>
        </is>
      </c>
      <c r="C372" t="inlineStr">
        <is>
          <t>Föryngringsavverkning</t>
        </is>
      </c>
      <c r="D372" s="1" t="n">
        <v>44664</v>
      </c>
      <c r="E372" s="1" t="n">
        <v>46261</v>
      </c>
      <c r="F372" t="inlineStr">
        <is>
          <t>UPPSALA LÄN</t>
        </is>
      </c>
      <c r="G372" t="inlineStr">
        <is>
          <t>ENKÖPING</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53607-2023</t>
        </is>
      </c>
      <c r="B373" t="inlineStr">
        <is>
          <t>avverkningsanmälan</t>
        </is>
      </c>
      <c r="C373" t="inlineStr">
        <is>
          <t>Föryngringsavverkning</t>
        </is>
      </c>
      <c r="D373" s="1" t="n">
        <v>45230</v>
      </c>
      <c r="E373" s="1" t="n">
        <v>46261</v>
      </c>
      <c r="F373" t="inlineStr">
        <is>
          <t>UPPSALA LÄN</t>
        </is>
      </c>
      <c r="G373" t="inlineStr">
        <is>
          <t>ENKÖPING</t>
        </is>
      </c>
      <c r="H373" t="inlineStr">
        <is>
          <t>Allmännings- och besparingsskogar</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59497-2022</t>
        </is>
      </c>
      <c r="B374" t="inlineStr">
        <is>
          <t>avverkningsanmälan</t>
        </is>
      </c>
      <c r="C374" t="inlineStr">
        <is>
          <t>Föryngringsavverkning</t>
        </is>
      </c>
      <c r="D374" s="1" t="n">
        <v>44907</v>
      </c>
      <c r="E374" s="1" t="n">
        <v>46261</v>
      </c>
      <c r="F374" t="inlineStr">
        <is>
          <t>UPPSALA LÄN</t>
        </is>
      </c>
      <c r="G374" t="inlineStr">
        <is>
          <t>ENKÖPING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49614-2024</t>
        </is>
      </c>
      <c r="B375" t="inlineStr">
        <is>
          <t>avverkningsanmälan</t>
        </is>
      </c>
      <c r="C375" t="inlineStr">
        <is>
          <t>Föryngringsavverkning</t>
        </is>
      </c>
      <c r="D375" s="1" t="n">
        <v>45596</v>
      </c>
      <c r="E375" s="1" t="n">
        <v>46261</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12878-2025</t>
        </is>
      </c>
      <c r="B376" t="inlineStr">
        <is>
          <t>avverkningsanmälan</t>
        </is>
      </c>
      <c r="C376" t="inlineStr">
        <is>
          <t>Föryngringsavverkning</t>
        </is>
      </c>
      <c r="D376" s="1" t="n">
        <v>45733</v>
      </c>
      <c r="E376" s="1" t="n">
        <v>46261</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52889-2022</t>
        </is>
      </c>
      <c r="B377" t="inlineStr">
        <is>
          <t>avverkningsanmälan</t>
        </is>
      </c>
      <c r="C377" t="inlineStr">
        <is>
          <t>Föryngringsavverkning</t>
        </is>
      </c>
      <c r="D377" s="1" t="n">
        <v>44875</v>
      </c>
      <c r="E377" s="1" t="n">
        <v>46261</v>
      </c>
      <c r="F377" t="inlineStr">
        <is>
          <t>UPPSALA LÄN</t>
        </is>
      </c>
      <c r="G377" t="inlineStr">
        <is>
          <t>ENKÖPING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47681-2024</t>
        </is>
      </c>
      <c r="B378" t="inlineStr">
        <is>
          <t>avverkningsanmälan</t>
        </is>
      </c>
      <c r="C378" t="inlineStr">
        <is>
          <t>Föryngringsavverkning</t>
        </is>
      </c>
      <c r="D378" s="1" t="n">
        <v>45588</v>
      </c>
      <c r="E378" s="1" t="n">
        <v>46261</v>
      </c>
      <c r="F378" t="inlineStr">
        <is>
          <t>UPPSALA LÄN</t>
        </is>
      </c>
      <c r="G378" t="inlineStr">
        <is>
          <t>ENKÖPING</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12754-2025</t>
        </is>
      </c>
      <c r="B379" t="inlineStr">
        <is>
          <t>avverkningsanmälan</t>
        </is>
      </c>
      <c r="C379" t="inlineStr">
        <is>
          <t>Föryngringsavverkning</t>
        </is>
      </c>
      <c r="D379" s="1" t="n">
        <v>45733</v>
      </c>
      <c r="E379" s="1" t="n">
        <v>46261</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54588-2024</t>
        </is>
      </c>
      <c r="B380" t="inlineStr">
        <is>
          <t>avverkningsanmälan</t>
        </is>
      </c>
      <c r="C380" t="inlineStr">
        <is>
          <t>Föryngringsavverkning</t>
        </is>
      </c>
      <c r="D380" s="1" t="n">
        <v>45617</v>
      </c>
      <c r="E380" s="1" t="n">
        <v>46261</v>
      </c>
      <c r="F380" t="inlineStr">
        <is>
          <t>UPPSALA LÄN</t>
        </is>
      </c>
      <c r="G380" t="inlineStr">
        <is>
          <t>ENKÖPING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51524-2022</t>
        </is>
      </c>
      <c r="B381" t="inlineStr">
        <is>
          <t>avverkningsanmälan</t>
        </is>
      </c>
      <c r="C381" t="inlineStr">
        <is>
          <t>Föryngringsavverkning</t>
        </is>
      </c>
      <c r="D381" s="1" t="n">
        <v>44869</v>
      </c>
      <c r="E381" s="1" t="n">
        <v>46261</v>
      </c>
      <c r="F381" t="inlineStr">
        <is>
          <t>UPPSALA LÄN</t>
        </is>
      </c>
      <c r="G381" t="inlineStr">
        <is>
          <t>ENKÖPING</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8137-2025</t>
        </is>
      </c>
      <c r="B382" t="inlineStr">
        <is>
          <t>avverkningsanmälan</t>
        </is>
      </c>
      <c r="C382" t="inlineStr">
        <is>
          <t>Föryngringsavverkning</t>
        </is>
      </c>
      <c r="D382" s="1" t="n">
        <v>45707</v>
      </c>
      <c r="E382" s="1" t="n">
        <v>46261</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7868-2024</t>
        </is>
      </c>
      <c r="B383" t="inlineStr">
        <is>
          <t>avverkningsanmälan</t>
        </is>
      </c>
      <c r="C383" t="inlineStr">
        <is>
          <t>Föryngringsavverkning</t>
        </is>
      </c>
      <c r="D383" s="1" t="n">
        <v>45350</v>
      </c>
      <c r="E383" s="1" t="n">
        <v>46261</v>
      </c>
      <c r="F383" t="inlineStr">
        <is>
          <t>UPPSALA LÄN</t>
        </is>
      </c>
      <c r="G383" t="inlineStr">
        <is>
          <t>ENKÖPING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35052-2024</t>
        </is>
      </c>
      <c r="B384" t="inlineStr">
        <is>
          <t>avverkningsanmälan</t>
        </is>
      </c>
      <c r="C384" t="inlineStr">
        <is>
          <t>Föryngringsavverkning</t>
        </is>
      </c>
      <c r="D384" s="1" t="n">
        <v>45527</v>
      </c>
      <c r="E384" s="1" t="n">
        <v>46261</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14518-2025</t>
        </is>
      </c>
      <c r="B385" t="inlineStr">
        <is>
          <t>avverkningsanmälan</t>
        </is>
      </c>
      <c r="C385" t="inlineStr">
        <is>
          <t>Föryngringsavverkning</t>
        </is>
      </c>
      <c r="D385" s="1" t="n">
        <v>45741</v>
      </c>
      <c r="E385" s="1" t="n">
        <v>46261</v>
      </c>
      <c r="F385" t="inlineStr">
        <is>
          <t>UPPSALA LÄN</t>
        </is>
      </c>
      <c r="G385" t="inlineStr">
        <is>
          <t>ENKÖPING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54776-2024</t>
        </is>
      </c>
      <c r="B386" t="inlineStr">
        <is>
          <t>avverkningsanmälan</t>
        </is>
      </c>
      <c r="C386" t="inlineStr">
        <is>
          <t>Föryngringsavverkning</t>
        </is>
      </c>
      <c r="D386" s="1" t="n">
        <v>45618</v>
      </c>
      <c r="E386" s="1" t="n">
        <v>46261</v>
      </c>
      <c r="F386" t="inlineStr">
        <is>
          <t>UPPSALA LÄN</t>
        </is>
      </c>
      <c r="G386" t="inlineStr">
        <is>
          <t>ENKÖPING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30087-2024</t>
        </is>
      </c>
      <c r="B387" t="inlineStr">
        <is>
          <t>avverkningsanmälan</t>
        </is>
      </c>
      <c r="C387" t="inlineStr">
        <is>
          <t>Föryngringsavverkning</t>
        </is>
      </c>
      <c r="D387" s="1" t="n">
        <v>45489</v>
      </c>
      <c r="E387" s="1" t="n">
        <v>46261</v>
      </c>
      <c r="F387" t="inlineStr">
        <is>
          <t>UPPSALA LÄN</t>
        </is>
      </c>
      <c r="G387" t="inlineStr">
        <is>
          <t>ENKÖPING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22795-2025</t>
        </is>
      </c>
      <c r="B388" t="inlineStr">
        <is>
          <t>avverkningsanmälan</t>
        </is>
      </c>
      <c r="C388" t="inlineStr">
        <is>
          <t>Föryngringsavverkning</t>
        </is>
      </c>
      <c r="D388" s="1" t="n">
        <v>45789</v>
      </c>
      <c r="E388" s="1" t="n">
        <v>46261</v>
      </c>
      <c r="F388" t="inlineStr">
        <is>
          <t>UPPSALA LÄN</t>
        </is>
      </c>
      <c r="G388" t="inlineStr">
        <is>
          <t>ENKÖPING</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22802-2025</t>
        </is>
      </c>
      <c r="B389" t="inlineStr">
        <is>
          <t>avverkningsanmälan</t>
        </is>
      </c>
      <c r="C389" t="inlineStr">
        <is>
          <t>Föryngringsavverkning</t>
        </is>
      </c>
      <c r="D389" s="1" t="n">
        <v>45789</v>
      </c>
      <c r="E389" s="1" t="n">
        <v>46261</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6981-2025</t>
        </is>
      </c>
      <c r="B390" t="inlineStr">
        <is>
          <t>avverkningsanmälan</t>
        </is>
      </c>
      <c r="C390" t="inlineStr">
        <is>
          <t>Föryngringsavverkning</t>
        </is>
      </c>
      <c r="D390" s="1" t="n">
        <v>45701</v>
      </c>
      <c r="E390" s="1" t="n">
        <v>46261</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22981-2025</t>
        </is>
      </c>
      <c r="B391" t="inlineStr">
        <is>
          <t>avverkningsanmälan</t>
        </is>
      </c>
      <c r="C391" t="inlineStr">
        <is>
          <t>Föryngringsavverkning</t>
        </is>
      </c>
      <c r="D391" s="1" t="n">
        <v>45790</v>
      </c>
      <c r="E391" s="1" t="n">
        <v>46261</v>
      </c>
      <c r="F391" t="inlineStr">
        <is>
          <t>UPPSALA LÄN</t>
        </is>
      </c>
      <c r="G391" t="inlineStr">
        <is>
          <t>ENKÖPING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68123-2021</t>
        </is>
      </c>
      <c r="B392" t="inlineStr">
        <is>
          <t>avverkningsanmälan</t>
        </is>
      </c>
      <c r="C392" t="inlineStr">
        <is>
          <t>Föryngringsavverkning</t>
        </is>
      </c>
      <c r="D392" s="1" t="n">
        <v>44526</v>
      </c>
      <c r="E392" s="1" t="n">
        <v>46261</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46261</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46261</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46261</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2026-08-27T01:49:30Z</dcterms:created>
  <dcterms:modified xmlns:dcterms="http://purl.org/dc/terms/" xmlns:xsi="http://www.w3.org/2001/XMLSchema-instance" xsi:type="dcterms:W3CDTF">2026-08-27T01:49:30Z</dcterms:modified>
</cp:coreProperties>
</file>